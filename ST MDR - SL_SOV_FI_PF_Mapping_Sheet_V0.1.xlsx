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iA\PycharmProjects\DF.FINBIFST\PR Validation SQL\"/>
    </mc:Choice>
  </mc:AlternateContent>
  <xr:revisionPtr revIDLastSave="0" documentId="13_ncr:1_{9BB6949A-B482-46FE-92A5-E146C247FE2F}" xr6:coauthVersionLast="47" xr6:coauthVersionMax="47" xr10:uidLastSave="{00000000-0000-0000-0000-000000000000}"/>
  <bookViews>
    <workbookView xWindow="-110" yWindow="-110" windowWidth="19420" windowHeight="11500" tabRatio="806" activeTab="4" xr2:uid="{4023521B-3F9C-45FA-8C3E-105AF1EABB5E}"/>
  </bookViews>
  <sheets>
    <sheet name="Version Control" sheetId="11" r:id="rId1"/>
    <sheet name="PDF_Input" sheetId="12" r:id="rId2"/>
    <sheet name="PDF_Output" sheetId="13" r:id="rId3"/>
    <sheet name="Mapping" sheetId="5" r:id="rId4"/>
    <sheet name="Current CDM_Staging_Table" sheetId="9" r:id="rId5"/>
    <sheet name="Input Table Structure" sheetId="15" r:id="rId6"/>
    <sheet name="Output Table Structure" sheetId="16" r:id="rId7"/>
  </sheets>
  <definedNames>
    <definedName name="_xlnm._FilterDatabase" localSheetId="4" hidden="1">'Current CDM_Staging_Table'!$A$1:$G$373</definedName>
    <definedName name="_xlnm._FilterDatabase" localSheetId="5" hidden="1">'Input Table Structure'!$B$1:$F$242</definedName>
    <definedName name="_xlnm._FilterDatabase" localSheetId="3" hidden="1">Mapping!$A$1:$T$268</definedName>
    <definedName name="_xlnm._FilterDatabase" localSheetId="6" hidden="1">'Output Table Structure'!$B$1:$F$212</definedName>
    <definedName name="_xlnm._FilterDatabase" localSheetId="1" hidden="1">PDF_Input!$B$2:$L$245</definedName>
    <definedName name="_xlnm._FilterDatabase" localSheetId="0" hidden="1">'Version Control'!$B$1:$H$83</definedName>
    <definedName name="CIQWBGuid" hidden="1">"4b7e85a5-7214-453f-b67d-33e290dae3e1"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9" l="1"/>
  <c r="G4" i="9"/>
  <c r="G140" i="9"/>
  <c r="G141" i="9"/>
  <c r="G142" i="9"/>
  <c r="G143" i="9"/>
  <c r="G144" i="9"/>
  <c r="G145" i="9"/>
  <c r="G146" i="9"/>
  <c r="G147" i="9"/>
  <c r="G139" i="9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G3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2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" i="9"/>
  <c r="E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tc={0A6AACEF-68C3-4F6C-A647-E3E8ADE678A5}</author>
  </authors>
  <commentList>
    <comment ref="D238" authorId="0" shapeId="0" xr:uid="{0A6AACEF-68C3-4F6C-A647-E3E8ADE678A5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NULL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tc={D49A8740-87FB-4C25-B62F-671F1CB83F88}</author>
  </authors>
  <commentList>
    <comment ref="B235" authorId="0" shapeId="0" xr:uid="{D49A8740-87FB-4C25-B62F-671F1CB83F88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NULL</t>
      </text>
    </comment>
  </commentList>
</comments>
</file>

<file path=xl/sharedStrings.xml><?xml version="1.0" encoding="utf-8"?>
<sst xmlns="http://schemas.openxmlformats.org/spreadsheetml/2006/main" count="9565" uniqueCount="775">
  <si>
    <t>Version control</t>
  </si>
  <si>
    <t>Attribute Name received from NBIF</t>
  </si>
  <si>
    <t>Input Table Name</t>
  </si>
  <si>
    <t>Datatype Length</t>
  </si>
  <si>
    <t>PK</t>
  </si>
  <si>
    <t>Change description</t>
  </si>
  <si>
    <t>I/O</t>
  </si>
  <si>
    <t>New 0.2</t>
  </si>
  <si>
    <t>SNGL_CR_ESR_NO</t>
  </si>
  <si>
    <t>Exposure_Product_IFRS</t>
  </si>
  <si>
    <t>NVARCHAR(50)</t>
  </si>
  <si>
    <t>Newly added</t>
  </si>
  <si>
    <t>In Input</t>
  </si>
  <si>
    <t>SNGL_CR_ESR_SSM_CODE</t>
  </si>
  <si>
    <t>NVARCHAR(10)</t>
  </si>
  <si>
    <t>SNGL_CR_ESR_BUS_REF_DTS</t>
  </si>
  <si>
    <t>TIMESTAMP(27)</t>
  </si>
  <si>
    <t>SNGL_CR_ESR_LVL_CODE</t>
  </si>
  <si>
    <t>NVARCHAR(64)</t>
  </si>
  <si>
    <t>SNGL_CR_ESR_ASSMT_NO</t>
  </si>
  <si>
    <t>NVARCHAR(255)</t>
  </si>
  <si>
    <t>SNGL_CR_ESR_ASSMT_SSM_CODE</t>
  </si>
  <si>
    <t>SNGL_CR_ESR_SCENARIO_NAME</t>
  </si>
  <si>
    <t>SNGL_CR_ESR_COREP_EXP_TP_CODE</t>
  </si>
  <si>
    <t>SNGL_CR_ESR_SPF_PRVNS_AMT</t>
  </si>
  <si>
    <t>Decimal (28,2)</t>
  </si>
  <si>
    <t>SNGL_CR_ESR_STAGE_CODE</t>
  </si>
  <si>
    <t>NVARCHAR(4)</t>
  </si>
  <si>
    <t>SNGL_CR_ESR_MM_BCKT_CODE</t>
  </si>
  <si>
    <t>SNGL_CR_ESR_MM_Z_FCTR_SGMNT_CODE</t>
  </si>
  <si>
    <t>SNGL_CR_ESR_MM_SGMNT_CODE</t>
  </si>
  <si>
    <t>SNGL_CR_ESR_MES_CTY_CODE</t>
  </si>
  <si>
    <t>SNGL_CR_ESR_LFTM_END_CALC</t>
  </si>
  <si>
    <t>DATE(10)</t>
  </si>
  <si>
    <t>Exposure_Product_Marginal_IFRS</t>
  </si>
  <si>
    <t>SNGL_CR_ESR_SEQ_NO</t>
  </si>
  <si>
    <t>NVARCHAR(5)</t>
  </si>
  <si>
    <t>SNGL_CR_ESR_INTERM_CURE_RATE</t>
  </si>
  <si>
    <t>Decimal (9,8)</t>
  </si>
  <si>
    <t>SNGL_CR_ESR_INTERM_EAD</t>
  </si>
  <si>
    <t>SNGL_CR_ESR_INTERM_LGD</t>
  </si>
  <si>
    <t>SNGL_CR_ESR_INTERM_PD</t>
  </si>
  <si>
    <t>Modified 0.2</t>
  </si>
  <si>
    <t>FITCH_ISSUR_DMST_CCY_RTG</t>
  </si>
  <si>
    <t>Obligor</t>
  </si>
  <si>
    <t>NVARCHAR(20)</t>
  </si>
  <si>
    <t>Renamed from FITCH_DMST_ISSUR_RTG</t>
  </si>
  <si>
    <t>MOODYS_ISSUR_DMST_CCY_RTG</t>
  </si>
  <si>
    <t>Renamed from MOODYS_DMST_ISSUR_RTG</t>
  </si>
  <si>
    <t>STD_POORS_ISSUR_DMST_CCY_RTG</t>
  </si>
  <si>
    <t>Renamed from S_P_DMST_ISSUR_RTG</t>
  </si>
  <si>
    <t>FITCH_ISSUR_FRGN_CCY_RTG</t>
  </si>
  <si>
    <t>Renamed from FITCH_FRGN_ISSUR_RTG</t>
  </si>
  <si>
    <t>MOODYS_ISSUR_FRGN_CCY_RTG</t>
  </si>
  <si>
    <t>Renamed from MOODYS_FRGN_ISSUR_RTG</t>
  </si>
  <si>
    <t>STD_POORS_ISSUR_FRGN_CCY_RTG</t>
  </si>
  <si>
    <t>Renamed from S_P_FRGN_ISSUR_RTG</t>
  </si>
  <si>
    <t>FITCH_SOV_ISSUR_DMST_CCY_RTG</t>
  </si>
  <si>
    <t>Renamed from FITCH_SVRN_DMST_ISSUR_RTG</t>
  </si>
  <si>
    <t>MOODYS_SOV_ISSUR_DMST_CCY_RTG</t>
  </si>
  <si>
    <t>Renamed from MOODYS_SVRN_DMST_ISSUR_RTG</t>
  </si>
  <si>
    <t>STD_POORS_SOV_ISSUR_DMST_SOV_CCY_RTG</t>
  </si>
  <si>
    <t>Renamed from S_P_SVRN_DMST_ISSUR_RTG</t>
  </si>
  <si>
    <t>SCE_AGRM_LVG_TXN_F</t>
  </si>
  <si>
    <t>SCE_Agreement</t>
  </si>
  <si>
    <t>NVARCHAR(1)</t>
  </si>
  <si>
    <t>SCE_AGRM_HIGH_LVG_TXN_F</t>
  </si>
  <si>
    <t>SCE_AGRM_STAGE_CURRENT_PERIOD_CODE</t>
  </si>
  <si>
    <t>NVARCHAR(2)</t>
  </si>
  <si>
    <t>SCE_AGRM_ORIGINATING_ENTITY_ID</t>
  </si>
  <si>
    <t>NVARCHAR(18)</t>
  </si>
  <si>
    <t>SCE_PD_ORIGINATING_ENTITY_ID</t>
  </si>
  <si>
    <t>SCE_Product</t>
  </si>
  <si>
    <t>SCE_PD_LVG_TXN_F</t>
  </si>
  <si>
    <t>SCE_PD_HIGH_LVG_TXN_F</t>
  </si>
  <si>
    <t>SCE_PD_DER_ORIGINATING_ENTITY_ID</t>
  </si>
  <si>
    <t>SCE_Product_DER</t>
  </si>
  <si>
    <t>Removed 0.2</t>
  </si>
  <si>
    <t>FITCH_SVRN_FRGN_ISSUR_RTG</t>
  </si>
  <si>
    <t>MOODYS_SVRN_FRGN_ISSUR_RTG</t>
  </si>
  <si>
    <t>S_P_SVRN_FRGN_ISSUR_RTG</t>
  </si>
  <si>
    <t>FITCH_LNG_ISSUE_RTG</t>
  </si>
  <si>
    <t>MOODYS_LNG_ISSUE_RTG</t>
  </si>
  <si>
    <t>S_P_LNG_ISSUE_RTG</t>
  </si>
  <si>
    <t>KBRA_SHRT_ISSUE_RTG</t>
  </si>
  <si>
    <t>FITCH_SHRT_ISSUE_RTG</t>
  </si>
  <si>
    <t>MOODYS_SHRT_ISSUE_RTG</t>
  </si>
  <si>
    <t>S_P_SHRT_ISSUE_RTG</t>
  </si>
  <si>
    <t>KBRA_LNG_ISSUE_RTG</t>
  </si>
  <si>
    <t>OBG_PRD_SEQ_NO</t>
  </si>
  <si>
    <t>Renamed</t>
  </si>
  <si>
    <t>In Output</t>
  </si>
  <si>
    <t>REG_FCY_PRD_SEQ_NO</t>
  </si>
  <si>
    <t>Regulatory_Facility</t>
  </si>
  <si>
    <t>SCE_AGRM_PRD_SEQ_NO</t>
  </si>
  <si>
    <t>SCE_PD_PRD_SEQ_NO</t>
  </si>
  <si>
    <t>SCE_PD_TAU_SEG</t>
  </si>
  <si>
    <t>FITCH_DMST_ISSUR_RTG</t>
  </si>
  <si>
    <t>MOODYS_DMST_ISSUR_RTG</t>
  </si>
  <si>
    <t>FITCH_FRGN_ISSUR_RTG</t>
  </si>
  <si>
    <t>MOODYS_FRGN_ISSUR_RTG</t>
  </si>
  <si>
    <t>FITCH_SVRN_DMST_ISSUR_RTG</t>
  </si>
  <si>
    <t>MOODYS_SVRN_DMST_ISSUR_RTG</t>
  </si>
  <si>
    <t>For Data Factory</t>
  </si>
  <si>
    <t>Key</t>
  </si>
  <si>
    <t>Version Control</t>
  </si>
  <si>
    <t>PK/FK</t>
  </si>
  <si>
    <t>Description</t>
  </si>
  <si>
    <t>Source Location in Year 1/ Starting point</t>
  </si>
  <si>
    <t>Table Name</t>
  </si>
  <si>
    <t>Field_Name</t>
  </si>
  <si>
    <t>Source Location in Year 2,3,4,5</t>
  </si>
  <si>
    <t>OBLGOR_NO</t>
  </si>
  <si>
    <t>Obligor Number</t>
  </si>
  <si>
    <t>Portfolio Data Store</t>
  </si>
  <si>
    <t> </t>
  </si>
  <si>
    <t>MF Output ST-PDF</t>
  </si>
  <si>
    <t>OBLGOR_SSM_CODE</t>
  </si>
  <si>
    <t>Obligor Source System Code</t>
  </si>
  <si>
    <t>OBG_CTY_OF_RSK_CODE</t>
  </si>
  <si>
    <t>Obligor Country Risk Code</t>
  </si>
  <si>
    <t>OBG_BUS_REF_DTS</t>
  </si>
  <si>
    <t>Obligor Business Reference Date Timestamp</t>
  </si>
  <si>
    <t>OBG_NAICS_CODE</t>
  </si>
  <si>
    <t>Obligor NAICS Code</t>
  </si>
  <si>
    <t>OBLGOR_LEAD_BU_CODE</t>
  </si>
  <si>
    <t>Obligor Lead Business Unit Code</t>
  </si>
  <si>
    <t>CNRL_CST_MSEG_CODE</t>
  </si>
  <si>
    <t>Central Customer Market Segment Code</t>
  </si>
  <si>
    <t>REL_ORG_CST_MSEG_CODE</t>
  </si>
  <si>
    <t>Customer Market Segment Code</t>
  </si>
  <si>
    <t>OBLGOR_NO_ORIG</t>
  </si>
  <si>
    <t>DF will deliver this as null for Year 1, ST to fill these in for year=N</t>
  </si>
  <si>
    <t>&lt;Blank with no mapping&gt;</t>
  </si>
  <si>
    <t>OBLGOR_SSM_CODE_ORIG</t>
  </si>
  <si>
    <t>OBG_BUS_REF_DTS_ORIG</t>
  </si>
  <si>
    <t>OBG_NEW_INFL_FLG</t>
  </si>
  <si>
    <t>OBG_NEW_INFL_PERIOD</t>
  </si>
  <si>
    <t>OBG_INCOR_CTY_CODE</t>
  </si>
  <si>
    <t>Obligor Incorporation Country Code</t>
  </si>
  <si>
    <t>OBLGOR_NO_MAP_ORIG</t>
  </si>
  <si>
    <t>OBLGOR_SSM_CODE_MAP_ORIG</t>
  </si>
  <si>
    <t>OBG_BUS_REF_DTS_MAP_ORIG</t>
  </si>
  <si>
    <t>OBG_MM_BCKT_CODE_ORIG</t>
  </si>
  <si>
    <t>NVARCHAR(6)</t>
  </si>
  <si>
    <t>OBG_SUST_CURE_3B_PCT</t>
  </si>
  <si>
    <t>Decimal (23,8)</t>
  </si>
  <si>
    <t>Obligor_CRC</t>
  </si>
  <si>
    <t>PK,FK</t>
  </si>
  <si>
    <t>OBG_CRC_BUS_REF_DTS</t>
  </si>
  <si>
    <t>Obligor CRC Business Reference Date Timestamp</t>
  </si>
  <si>
    <t>OBG_DFLT_EV_EFF_DT</t>
  </si>
  <si>
    <t>Obligor Default Event Effective Date</t>
  </si>
  <si>
    <t>OBG_NO</t>
  </si>
  <si>
    <t>Obligor_CRC_Result</t>
  </si>
  <si>
    <t>OBG_SSM_CODE</t>
  </si>
  <si>
    <t>OBG_CRC_CODE</t>
  </si>
  <si>
    <t>NVARCHAR(22)</t>
  </si>
  <si>
    <t>Obligor Credit Risk Classification Code</t>
  </si>
  <si>
    <t>Obligor_DPD</t>
  </si>
  <si>
    <t>OBG_DPD_BUS_REF_DTS</t>
  </si>
  <si>
    <t>Obligor DPD Business Reference DateTimestamp</t>
  </si>
  <si>
    <t>OBG_DYS_PAST_DUE_CNTER_NOD_PAST_DUE</t>
  </si>
  <si>
    <t>Decimal (6,0)</t>
  </si>
  <si>
    <t>Obligor Days Past Due Counter Number of Days</t>
  </si>
  <si>
    <t>Obligor_PD</t>
  </si>
  <si>
    <t>OBG_PD_MODL_ID</t>
  </si>
  <si>
    <t>Obligor PD Model ID</t>
  </si>
  <si>
    <t>Input_Product</t>
  </si>
  <si>
    <t>PDModelID</t>
  </si>
  <si>
    <t>OBG_PD_MODL_NM</t>
  </si>
  <si>
    <t>NVARCHAR(60)</t>
  </si>
  <si>
    <t>Obligor PD Model Name</t>
  </si>
  <si>
    <t>PDModelName</t>
  </si>
  <si>
    <t>OBG_PD_BUS_REF_DTS</t>
  </si>
  <si>
    <t>Obligor PD Business Reference Date Timestamp</t>
  </si>
  <si>
    <t>OBG_PD_RABO_RSK_RTG_BEST_EST_CODE</t>
  </si>
  <si>
    <t>NVARCHAR(3)</t>
  </si>
  <si>
    <t>Obligor PD Rabo Risk Rating Best Estimate Code</t>
  </si>
  <si>
    <t>Input_Obligor</t>
  </si>
  <si>
    <t>RRR</t>
  </si>
  <si>
    <t>OBG_PD_RCPTL_PCT</t>
  </si>
  <si>
    <t>Obligor PD Regulatory Capital Percentage</t>
  </si>
  <si>
    <t>IRBModelPD</t>
  </si>
  <si>
    <t>REG_FCY_BU_CODE</t>
  </si>
  <si>
    <t>Regulatory Facility Business Unit Code</t>
  </si>
  <si>
    <t>REG_FCY_NO</t>
  </si>
  <si>
    <t>Regulatory Facility Number</t>
  </si>
  <si>
    <t>REG_FCY_SSM_CODE</t>
  </si>
  <si>
    <t>Regulatory Facility Source System Code</t>
  </si>
  <si>
    <t>REG_FCY_BUS_REF_DTS</t>
  </si>
  <si>
    <t>Regulatory Facility Business Reference Date Timestamp</t>
  </si>
  <si>
    <t>FK</t>
  </si>
  <si>
    <t>REG_FCY_NO_ORIG</t>
  </si>
  <si>
    <t>REG_FCY_SSM_CODE_ORIG</t>
  </si>
  <si>
    <t>REG_FCY_BUS_REF_DTS_ORIG</t>
  </si>
  <si>
    <t>REG_FCY_NEW_INFL_FLG</t>
  </si>
  <si>
    <t>REG_FCY_NEW_INFL_PERIOD</t>
  </si>
  <si>
    <t>REG_FCY_NO_MAP_ORIG</t>
  </si>
  <si>
    <t>REG_FCY_SSM_CODE_MAP_ORIG</t>
  </si>
  <si>
    <t>REG_FCY_BUS_REF_DTS_MAP_ORIG</t>
  </si>
  <si>
    <t>REG_FCY_MM_BCKT_CODE_ORIG</t>
  </si>
  <si>
    <t>Regulatory_Facility_LGD</t>
  </si>
  <si>
    <t>SCE_AGRM_NO</t>
  </si>
  <si>
    <t>Single Credit Exposure Agreement Number</t>
  </si>
  <si>
    <t>SCE_AGRM_SSM_CODE</t>
  </si>
  <si>
    <t>Single Credit Exposure Agreement Source System Code</t>
  </si>
  <si>
    <t>SCE_AGRM_BUS_REF_DTS</t>
  </si>
  <si>
    <t>Single Credit Exposure Agreement Business Reference Date Timestamp</t>
  </si>
  <si>
    <t>SCE_AGRM_ORIG_DT</t>
  </si>
  <si>
    <t>Single Credit Exposure Agreement Origination Date</t>
  </si>
  <si>
    <t>SCE_AGRM_EXP_DT</t>
  </si>
  <si>
    <t>Single Credit Exposure Agreement Expiry Date</t>
  </si>
  <si>
    <t>SCE_AGRM_BUS_REF_DTS_ORIG</t>
  </si>
  <si>
    <t>SCE_AGRM_NO_ORIG</t>
  </si>
  <si>
    <t>SCE_AGRM_SSM_CODE_ORIG</t>
  </si>
  <si>
    <t>SCE_AGRM_NML_ESR_AMT</t>
  </si>
  <si>
    <t>Decimal (22,2)</t>
  </si>
  <si>
    <t>Single Credit Exposure Agreement Nominal Exposure Amount (Limit)</t>
  </si>
  <si>
    <t>SCE_AGRM_HEADROOM</t>
  </si>
  <si>
    <t>Decimal (23,2)</t>
  </si>
  <si>
    <t>Single Credit Exposure Agreement Headroom (Headroom)</t>
  </si>
  <si>
    <t>SCE_AGRM_NEW_INFL_FLG</t>
  </si>
  <si>
    <t>SCE_AGRM_NEW_INFL_PERIOD</t>
  </si>
  <si>
    <t>SCE_AGRM_DEPT</t>
  </si>
  <si>
    <t>SCE_AGRM_NO_MAP_ORIG</t>
  </si>
  <si>
    <t>SCE_AGRM_SSM_CODE_MAP_ORIG</t>
  </si>
  <si>
    <t>SCE_AGRM_BUS_REF_DTS_MAP_ORIG</t>
  </si>
  <si>
    <t>SCE_AGRM_TP_CODE</t>
  </si>
  <si>
    <t>Single Credit Exposure Agreement Type Code</t>
  </si>
  <si>
    <t>SCE_AGRM_SPF_PRVNS_AMT</t>
  </si>
  <si>
    <t>MF Output PDF (for 3b)
MF Output ECL (for 1,2,3A)</t>
  </si>
  <si>
    <t>SCE_AGRM_REGULATORY_APPROACH_USED</t>
  </si>
  <si>
    <t>Single Credit Exposure Agreement Regulatory Approach Used</t>
  </si>
  <si>
    <t>SCE_AGRM_NOM_INT_PCT</t>
  </si>
  <si>
    <t>Decimal (15,10)</t>
  </si>
  <si>
    <t>Single Credit Exposure Agreement Nominal Interest Rate</t>
  </si>
  <si>
    <t>SCE_PD_NO</t>
  </si>
  <si>
    <t>Single Credit Exposure Product Number</t>
  </si>
  <si>
    <t>SCE_PD_SSM_CODE</t>
  </si>
  <si>
    <t>Single Credit Exposure Product Source System Code</t>
  </si>
  <si>
    <t>SCE_PD_BUS_REF_DTS</t>
  </si>
  <si>
    <t>Single Credit Exposure Product Business Reference Date Timestamp</t>
  </si>
  <si>
    <t>SCE_PD_OTSND_AMT</t>
  </si>
  <si>
    <t>Single Credit Exposure Product Outstanding Amount</t>
  </si>
  <si>
    <t>SCE_PD_EXP_DT</t>
  </si>
  <si>
    <t>Single Credit Exposure Product Expiry Date</t>
  </si>
  <si>
    <t>SCE_PD_ORIG_DT</t>
  </si>
  <si>
    <t>Single Credit Exposure Product Origination Date</t>
  </si>
  <si>
    <t>REPORTING_ENTITY_ID</t>
  </si>
  <si>
    <t>Reporting Entity ID</t>
  </si>
  <si>
    <t>SCE_PD_NOM_INT_PCT</t>
  </si>
  <si>
    <t>Single Credit Exposure Product Nominal Interest Rate</t>
  </si>
  <si>
    <t>SCE_PD_TP_CODE</t>
  </si>
  <si>
    <t>Single Credit Exposure Product Type Code</t>
  </si>
  <si>
    <t>SCE_PD_NO_ORIG</t>
  </si>
  <si>
    <t>SCE_PD_SSM_CODE_ORIG</t>
  </si>
  <si>
    <t>SCE_PD_BUS_REF_DTS_ORIG</t>
  </si>
  <si>
    <t>SCE_PD_SPF_PRVNS_AMT</t>
  </si>
  <si>
    <t>Single Credit Exposure Product Specific Provisions Amount</t>
  </si>
  <si>
    <t>SCE_PD_NEW_INFL_FLG</t>
  </si>
  <si>
    <t>SCE_PD_NEW_INFL_PERIOD</t>
  </si>
  <si>
    <t>SCE_PD_NEW_INFL_TYP</t>
  </si>
  <si>
    <t>SCE_PD_DEPT</t>
  </si>
  <si>
    <t>SCE_PD_PART_WRT_OFFS_AMT</t>
  </si>
  <si>
    <t>Single Credit Exposure Product Partial Write Offs Amount</t>
  </si>
  <si>
    <t>SCE_PD_STAGE_CURRENT_PERIOD_CODE</t>
  </si>
  <si>
    <t>SCE_PD_COREP_EXP_TP_CODE</t>
  </si>
  <si>
    <t>Single Credit Exposure COREP Exposure Type Code</t>
  </si>
  <si>
    <t>SCE_PD_NO_MAP_ORIG</t>
  </si>
  <si>
    <t>SCE_PD_SSM_CODE_MAP_ORIG</t>
  </si>
  <si>
    <t>SCE_PD_BUS_REF_DTS_MAP_ORIG</t>
  </si>
  <si>
    <t>SCE_PD_REGULATORY_APPROACH_USED</t>
  </si>
  <si>
    <t>Single Credit Exposure Regultory Approach Used</t>
  </si>
  <si>
    <t>FMR_TRD_BUS_REF_DTS</t>
  </si>
  <si>
    <t>FMR Trade Business Reference Date Timestamp</t>
  </si>
  <si>
    <t>FMR_TRD_REF_DEAL_ID</t>
  </si>
  <si>
    <t>FMR Trade Reference Deal ID</t>
  </si>
  <si>
    <t>FMR_TRD_SSM_CODE</t>
  </si>
  <si>
    <t>NVARCHAR(128)</t>
  </si>
  <si>
    <t>FMR Trade Source System Code</t>
  </si>
  <si>
    <t>FMR_TRD_REG_CPTL_EAD_AMT</t>
  </si>
  <si>
    <t>FMR Trade Regular Capital EAD Amount</t>
  </si>
  <si>
    <t>IMMCalculatedRegEAD</t>
  </si>
  <si>
    <t>FMR_TRD_REG_CPTL_EAD_STRS_AMT</t>
  </si>
  <si>
    <t>FMR Trade Regular Capital Stressed EAD Amount</t>
  </si>
  <si>
    <t>IMMCalculatedStressedEAD</t>
  </si>
  <si>
    <t>FMR_TRD_STD_APRC_EAD_AMT</t>
  </si>
  <si>
    <t>FMR Trade Standardised Approach EAD Amount</t>
  </si>
  <si>
    <t>SACCRCalculatedEAD</t>
  </si>
  <si>
    <t>FMR_TRD_BUS_REF_DTS_ORIG</t>
  </si>
  <si>
    <t>FMR_TRD_REF_DEAL_ID_ORIG</t>
  </si>
  <si>
    <t>FMR_TRD_SSM_CODE_ORIG</t>
  </si>
  <si>
    <t>FMR_TRD_REF_DEAL_ID_MAP_ORIG</t>
  </si>
  <si>
    <t>FMR_TRD_SSM_CODE_MAP_ORIG</t>
  </si>
  <si>
    <t>FMR_TRD_BUS_REF_DTS_MAP_ORIG</t>
  </si>
  <si>
    <t>SCE_PD_DER_REGULATORY_APPROACH_USED</t>
  </si>
  <si>
    <t>SCE_PD_DER_DEPT</t>
  </si>
  <si>
    <t>CLT_AR_BUS_REF_DTS</t>
  </si>
  <si>
    <t>Collateral_Arrangement</t>
  </si>
  <si>
    <t>Collateral Arrangement Business Reference Date Timestamp</t>
  </si>
  <si>
    <t>CLT_AR_NO</t>
  </si>
  <si>
    <t>NVARCHAR(40)</t>
  </si>
  <si>
    <t>Collateral Arrangement Number</t>
  </si>
  <si>
    <t>CLT_AR_SSM_CODE</t>
  </si>
  <si>
    <t>Collateral Arrangement Source System Code</t>
  </si>
  <si>
    <t>CLT_AR_NML_VAL_AMT</t>
  </si>
  <si>
    <t>Collateral Arrangement Nominal Value Amount</t>
  </si>
  <si>
    <t>CLT_AR_STRT_DT</t>
  </si>
  <si>
    <t>Collateral Arrangement Start Date</t>
  </si>
  <si>
    <t>CLT_AR_END_DT</t>
  </si>
  <si>
    <t>Collateral Arrangement End Date</t>
  </si>
  <si>
    <t>CLT_AR_NO_ORIG</t>
  </si>
  <si>
    <t>CLT_AR_SSM_CODE_ORIG</t>
  </si>
  <si>
    <t>CLT_AR_BUS_REF_DTS_ORIG</t>
  </si>
  <si>
    <t>CLT_AR_NO_MAP_ORIG</t>
  </si>
  <si>
    <t>CLT_AR_SSM_CODE_MAP_ORIG</t>
  </si>
  <si>
    <t>CLT_AR_BUS_REF_DTS_MAP_ORIG</t>
  </si>
  <si>
    <t>CLT_OBJ_BUS_REF_DTS</t>
  </si>
  <si>
    <t>Collateral_Object</t>
  </si>
  <si>
    <t>Collateral Object Business Reference Date Timestamp</t>
  </si>
  <si>
    <t>CLT_OBJ_NO</t>
  </si>
  <si>
    <t>Collateral Object Number</t>
  </si>
  <si>
    <t>CLT_OBJ_SSM_CODE</t>
  </si>
  <si>
    <t>Collateral Object Source System Code</t>
  </si>
  <si>
    <t>CLT_OBJ_BUS_REF_DTS_ORIG</t>
  </si>
  <si>
    <t>CLT_OBJ_NO_ORIG</t>
  </si>
  <si>
    <t>CLT_OBJ_SSM_CODE_ORIG</t>
  </si>
  <si>
    <t>CLT_OBJ_CTY_CODE</t>
  </si>
  <si>
    <t>Collateral Object Country Code</t>
  </si>
  <si>
    <t>CLT_OBJ_TP_CODE</t>
  </si>
  <si>
    <t>Contains both LBB and WRR data.
LBB: Collateral Object Type Code. 1 letter followed by 3 numbers (e.g. B4ZZ)
WRR&amp;FS specific: Type of collateral object.</t>
  </si>
  <si>
    <t>CLT_OBJ_NO_MAP_ORIG</t>
  </si>
  <si>
    <t>CLT_OBJ_SSM_CODE_MAP_ORIG</t>
  </si>
  <si>
    <t>CLT_OBJ_BUS_REF_DTS_MAP_ORIG</t>
  </si>
  <si>
    <t>Collateral_Object_Value</t>
  </si>
  <si>
    <t>CLT_OBJ_VAL_DT</t>
  </si>
  <si>
    <t>Collateral Object Valuation Date</t>
  </si>
  <si>
    <t>CLT_OBJ_VAL_VAL_TP_CODE</t>
  </si>
  <si>
    <t>NVARCHAR (6)</t>
  </si>
  <si>
    <t>Collateral Object Valuation Value Type Code</t>
  </si>
  <si>
    <t>CLT_OBJ_VAL_APRV_F</t>
  </si>
  <si>
    <t>Decimal (1,0)</t>
  </si>
  <si>
    <t>Collateral Object Value Approval Flag</t>
  </si>
  <si>
    <t>CLT_OBJ_VAL_MTH_CODE</t>
  </si>
  <si>
    <t>Collateral Object Value Method Code</t>
  </si>
  <si>
    <t>CLT_OBJ_VAL_VAL_AMT</t>
  </si>
  <si>
    <t>Collateral Object Value Value Amount</t>
  </si>
  <si>
    <t>COL_ID</t>
  </si>
  <si>
    <t>Collateral_Item</t>
  </si>
  <si>
    <t>Collateral ID</t>
  </si>
  <si>
    <t>META_SSM_CODE</t>
  </si>
  <si>
    <t>NVARCHAR(100)</t>
  </si>
  <si>
    <t>Collateral Source System Code</t>
  </si>
  <si>
    <t>COL_BUS_REF_DTS</t>
  </si>
  <si>
    <t>Collateral Business Reference Date Timestamp</t>
  </si>
  <si>
    <t>COL_TP</t>
  </si>
  <si>
    <t>Collateral Type</t>
  </si>
  <si>
    <t>RE_TP</t>
  </si>
  <si>
    <t>Real Estate Type</t>
  </si>
  <si>
    <t>COL_CURRVAL_EUR</t>
  </si>
  <si>
    <t>DECIMAL(18,2)</t>
  </si>
  <si>
    <t>Collateral Current Value Euro</t>
  </si>
  <si>
    <t>COL_DT_OF_VAL</t>
  </si>
  <si>
    <t>Collateral Date of Valuation</t>
  </si>
  <si>
    <t>COL_AMT_OF_T3P_CLM_EUR</t>
  </si>
  <si>
    <t>Collateral Amount of Third Party Claim Euro</t>
  </si>
  <si>
    <t>COL_ORIG_VAL_DT</t>
  </si>
  <si>
    <t>Collateral Origination Value Date</t>
  </si>
  <si>
    <t>COL_MAT_DT</t>
  </si>
  <si>
    <t>Collateral Maturity Date</t>
  </si>
  <si>
    <t>COL_BUS_REF_DTS_ORIG</t>
  </si>
  <si>
    <t>COL_ID_ORIG</t>
  </si>
  <si>
    <t>META_SSM_CODE_ORIG</t>
  </si>
  <si>
    <t>COL_ID_MAP_ORIG</t>
  </si>
  <si>
    <t>META_SSM_CODE_MAP_ORIG</t>
  </si>
  <si>
    <t>COL_BUS_REF_DTS_MAP_ORIG</t>
  </si>
  <si>
    <t>CLT_AR_LINE_ALLOCATION</t>
  </si>
  <si>
    <t>CLT_OBJ_LINE_ALLOCATION</t>
  </si>
  <si>
    <t>CLT_OBJ_TO_AR_LINE_ALLOCATION</t>
  </si>
  <si>
    <t>Portfolio Data Store (ECL Output)</t>
  </si>
  <si>
    <t/>
  </si>
  <si>
    <t>Assessment Number</t>
  </si>
  <si>
    <t>Assessment Source System Code</t>
  </si>
  <si>
    <t>Macro Economic Scenario Number</t>
  </si>
  <si>
    <t>Exposure Product Balance Code</t>
  </si>
  <si>
    <t>Exposure Product IFRS Provisioning Amount</t>
  </si>
  <si>
    <t>Exposure Product IFRS Stage Code</t>
  </si>
  <si>
    <t>IFRS9_Rating_MM_At_Reporting_Date</t>
  </si>
  <si>
    <t>IFRS9_Z_Factor_Segment</t>
  </si>
  <si>
    <t>IFRS9_MM_Segmentation</t>
  </si>
  <si>
    <t>Country ME</t>
  </si>
  <si>
    <t>SCE_LifeTime_End_Date_Calculation*</t>
  </si>
  <si>
    <t>Exposure Product Marginal Year Sequence Number</t>
  </si>
  <si>
    <t>Exposure Product Marginal EAD Amount</t>
  </si>
  <si>
    <t>Exposure Product Marginal LGD Percentage</t>
  </si>
  <si>
    <t>FitchDomesticIssuerRating</t>
  </si>
  <si>
    <t>MoodysDomesticIssuerRating</t>
  </si>
  <si>
    <t>SPDomesticIssuerRating</t>
  </si>
  <si>
    <t>FitchForeignIssuerRating</t>
  </si>
  <si>
    <t>MoodysForeignIssuerRating</t>
  </si>
  <si>
    <t>SPForeignIssuerRating</t>
  </si>
  <si>
    <t>FitchSovereignDomesticIssuerRating</t>
  </si>
  <si>
    <t>MoodysSovereignDomesticIssuerRating</t>
  </si>
  <si>
    <t>SPSovereignDomesticIssuerRating</t>
  </si>
  <si>
    <t>REG_FCY_PRTFL</t>
  </si>
  <si>
    <t>REG_FCY_PORTFOLIO</t>
  </si>
  <si>
    <t>Single Credit Exposure Agreement Leveraged Transaction Flag</t>
  </si>
  <si>
    <t>Single Credit Exposure Agreement Highly Leveraged Transaction Flag</t>
  </si>
  <si>
    <t xml:space="preserve">Single Credit Exposure Agreement </t>
  </si>
  <si>
    <t>BR to set as NULL</t>
  </si>
  <si>
    <t>Single Credit Exposure Agreement Originating Entity</t>
  </si>
  <si>
    <t>Rabobank reporting entity from where the loan/deal got originated/opened</t>
  </si>
  <si>
    <t>Single Credit Exposure Product Leveraged Transaction Flag</t>
  </si>
  <si>
    <t>Single Credit Exposure Product Highly Leveraged Transaction Flag</t>
  </si>
  <si>
    <t>Single Credit Exposure Product Originating Entity</t>
  </si>
  <si>
    <t>OBG_MM_BCKT_CODE</t>
  </si>
  <si>
    <t>REG_FCY_MM_BCKT_CODE</t>
  </si>
  <si>
    <t>REG_FCY_LGD_PIT_3B_PCT</t>
  </si>
  <si>
    <t>SCE_AGRM_MM_BCKT_CODE</t>
  </si>
  <si>
    <t>SCE_AGRM_EAD_BE_X_Stage_1_BOY</t>
  </si>
  <si>
    <t>SCE_AGRM_EAD_BE_X_Stage_2_BOY</t>
  </si>
  <si>
    <t>SCE_AGRM_EAD_BE_X_Stage_3_BOY</t>
  </si>
  <si>
    <t>SCE_AGRM_EAD_BE_X_Stage_Oth_BOY</t>
  </si>
  <si>
    <t>SCE_AGRM_LGD_FLR_DYKE_MTHD_FCTR</t>
  </si>
  <si>
    <t>Decimal(9,8)</t>
  </si>
  <si>
    <t>SCE_AGRM_MTP_SGMNT_MAIN</t>
  </si>
  <si>
    <t>SCE_AGRM_MTP_SGMNT_SUB_1</t>
  </si>
  <si>
    <t>SCE_AGRM_MTP_SGMNT_SUB_2</t>
  </si>
  <si>
    <t>SCE_AGRM_MTP_SGMNT_SUB_3</t>
  </si>
  <si>
    <t>SCE_AGRM_FA_FLG</t>
  </si>
  <si>
    <t>SCE_PD_MM_BCKT_CODE</t>
  </si>
  <si>
    <t>SCE_PD_EAD_BE_X_Stage_1_BOY</t>
  </si>
  <si>
    <t>SCE_PD_EAD_BE_X_Stage_2_BOY</t>
  </si>
  <si>
    <t>SCE_PD_EAD_BE_X_Stage_3_BOY</t>
  </si>
  <si>
    <t>SCE_PD_EAD_BE_X_Stage_Oth_BOY</t>
  </si>
  <si>
    <t>SCE_PD_LGD_FLR_DYKE_MTHD_FCTR</t>
  </si>
  <si>
    <t>SCE_PD_MTP_SGMNT_MAIN</t>
  </si>
  <si>
    <t>SCE_PD_MTP_SGMNT_SUB_1</t>
  </si>
  <si>
    <t>SCE_PD_MTP_SGMNT_SUB_2</t>
  </si>
  <si>
    <t>SCE_PD_MTP_SGMNT_SUB_3</t>
  </si>
  <si>
    <t>SCE_PD_FA_FLG</t>
  </si>
  <si>
    <t>SCE_AGRM_TAU_SEG</t>
  </si>
  <si>
    <t>Single Credit Exposure Agreement TAU Segment</t>
  </si>
  <si>
    <t>Single Credit Exposure Product TAU Segment</t>
  </si>
  <si>
    <t>Version</t>
  </si>
  <si>
    <t>Attribute Name in nBIF/GRFD2</t>
  </si>
  <si>
    <t>Availabe with same name in current CDM Staging table</t>
  </si>
  <si>
    <t>New Attribute</t>
  </si>
  <si>
    <t>HN Access</t>
  </si>
  <si>
    <t>Schema Name</t>
  </si>
  <si>
    <t>HN Name</t>
  </si>
  <si>
    <t>HN Attribute Name</t>
  </si>
  <si>
    <t>BR Rule</t>
  </si>
  <si>
    <t>1st Layer CDM/ 2nd Layer Input</t>
  </si>
  <si>
    <t>Available in CORP</t>
  </si>
  <si>
    <t>Comments</t>
  </si>
  <si>
    <t>Y</t>
  </si>
  <si>
    <t>1st Layer</t>
  </si>
  <si>
    <t>N</t>
  </si>
  <si>
    <t>NA</t>
  </si>
  <si>
    <t>Deafult NULL</t>
  </si>
  <si>
    <t>2nd Layer</t>
  </si>
  <si>
    <t>Include in 2nd layer</t>
  </si>
  <si>
    <t>DRB_Schema_replace</t>
  </si>
  <si>
    <t>HN_DRB_REL</t>
  </si>
  <si>
    <t>Enable in FI , commented in current staging CDM query</t>
  </si>
  <si>
    <t>Enable in FI , commented in current  staging CDM query</t>
  </si>
  <si>
    <t>Default NULL</t>
  </si>
  <si>
    <r>
      <rPr>
        <b/>
        <sz val="11"/>
        <rFont val="Calibri"/>
        <family val="2"/>
      </rPr>
      <t>Ezgi:--</t>
    </r>
    <r>
      <rPr>
        <sz val="11"/>
        <rFont val="Calibri"/>
        <family val="2"/>
      </rPr>
      <t xml:space="preserve"> 3B_PCT will be there in nBIF (uploaded manually) in a separate table (SustainableCure_OBG)- This is a tactical solution until this data becomes available in GRFD2. Below is the logic:-
Select OBG.&lt;required columns&gt;,
       SSCOBG.OBG_SUST_CURE_3B_PCT
from [ Obligor ] OBG
LEFT JOIN [ SustainableCure_OBG ]  SSCOBG
     ON OBG.OBLGOR_NO = SSCOBG.OBLGOR_NO
     AND OBG.OBLGOR_SSM_CODE = SSCOBG.OBLGOR_SSM_CODE
     AND DATEADD(MINUTE, DATEDIFF(MINUTE, 0, OBG.OBG_BUS_REF_DTS ), 0) = TRY_CONVERT(DATETIME2(0), SSCOBG.OBG_BUS_REF_DTS, 105)
In the worst case for initial delivery its okay to have NULL for this attribute.</t>
    </r>
  </si>
  <si>
    <t>Refer to FI_STG_Global_Party_External_Ratings.sql</t>
  </si>
  <si>
    <t>Refer to FI_STG_Country_Rating</t>
  </si>
  <si>
    <t>Removed as part of PDF MDR V0.2</t>
  </si>
  <si>
    <t>FitchSovereignForeignIssuerRating</t>
  </si>
  <si>
    <t>MoodysSovereignForeignIssuerRating</t>
  </si>
  <si>
    <t>SPSovereignForeignIssuerRating</t>
  </si>
  <si>
    <t>Get it from Obligor_CRC</t>
  </si>
  <si>
    <t>GRP_Schema_replace</t>
  </si>
  <si>
    <t>HN_GRP_OBG_PD</t>
  </si>
  <si>
    <t>Enable in FI , commented in current code</t>
  </si>
  <si>
    <t>OBG_PD_RABO_RSK_RTG_BEST_EST_CODE_ORIG</t>
  </si>
  <si>
    <r>
      <rPr>
        <b/>
        <sz val="11"/>
        <rFont val="Calibri"/>
        <family val="2"/>
      </rPr>
      <t>Job :--</t>
    </r>
    <r>
      <rPr>
        <sz val="11"/>
        <rFont val="Calibri"/>
        <family val="2"/>
      </rPr>
      <t xml:space="preserve">  We remove this field. So for now you can keep as NULL. We plan to change this with OBG_BCKT_CODE_ORIG in the next MDR. And this can be delivered as NULL </t>
    </r>
  </si>
  <si>
    <t>domain value like FI / SOV / PF hardcode</t>
  </si>
  <si>
    <t xml:space="preserve">Regulatory Facility </t>
  </si>
  <si>
    <t>Regulatory_Facility_EAD</t>
  </si>
  <si>
    <t>REG_FCY_EAD_RCPTL_AMT</t>
  </si>
  <si>
    <t>Regulatory Facility EAD Regulatory Capital Amount</t>
  </si>
  <si>
    <t>IRBModelEAD</t>
  </si>
  <si>
    <t>REG_FCY_LGD_RCPTL_PCT</t>
  </si>
  <si>
    <t>Regulatory Facility LGD Regulatory Capital Percentage</t>
  </si>
  <si>
    <t>IRBModelLGD</t>
  </si>
  <si>
    <t>HN_DRB_STIB</t>
  </si>
  <si>
    <t>PROVISION_EUR_AMT</t>
  </si>
  <si>
    <t>Refer to Corporate CDM query (SCE_Agreement.sql )</t>
  </si>
  <si>
    <t>HN_GRP_BIV_RWA_OUT_SNGL_CR_ESR</t>
  </si>
  <si>
    <t>REGULATORYAPPROACHUSED</t>
  </si>
  <si>
    <t>SCE_Balance_Sheet</t>
  </si>
  <si>
    <t>Get it from SCE product</t>
  </si>
  <si>
    <t>SCE_BSH_COREP_EXP_TP_CODE</t>
  </si>
  <si>
    <t>Get it from SCE product (SCE_PD_COREP_EXP_TP_CODE)</t>
  </si>
  <si>
    <t>SCE_BSH_BAL_AMT</t>
  </si>
  <si>
    <t>Get it from SCE product (SCE_PD_OTSND_AMT)</t>
  </si>
  <si>
    <t>Single Credit Exposure Balance Sheet Balance Amount</t>
  </si>
  <si>
    <t>WRL_Schema_replace</t>
  </si>
  <si>
    <t>HN_WRL_TRD_PRVN_MVMT_SHD</t>
  </si>
  <si>
    <t>STAGE_CURRENT_PERIOD_CODE</t>
  </si>
  <si>
    <t>Refer to Corporate CDM query (SCE_Product.sql )</t>
  </si>
  <si>
    <t>Refer to Corporate CDM query (SCE_product.sql )</t>
  </si>
  <si>
    <t>FitchLongIssueRating</t>
  </si>
  <si>
    <t>MoodysLongIssueRating</t>
  </si>
  <si>
    <t>1st Payer</t>
  </si>
  <si>
    <t>SPLongIssueRating</t>
  </si>
  <si>
    <t>1st Sayer</t>
  </si>
  <si>
    <t>KBRAShortIssueRating</t>
  </si>
  <si>
    <t>FitchShortIssueRating</t>
  </si>
  <si>
    <t>MoodysShortIssueRating</t>
  </si>
  <si>
    <t>SPShortIssueRating</t>
  </si>
  <si>
    <t>KBRALongIssueRating</t>
  </si>
  <si>
    <t>Available in SCE_Product Add it to SCE_Product_DER</t>
  </si>
  <si>
    <t>Refer to Corporate CDM query (SCE_Product_DER.sql )</t>
  </si>
  <si>
    <t>HN_WRL_DEPT</t>
  </si>
  <si>
    <t>DEPT_BK</t>
  </si>
  <si>
    <t>SCE_Product_EAD</t>
  </si>
  <si>
    <t>SNGL_CR_ESR_EAD_RCPTL_AMT</t>
  </si>
  <si>
    <t>Single Credit Exposure Product EAD Regulatory Capital Amount</t>
  </si>
  <si>
    <t>HN_GRP_SCE_LVG_TXN</t>
  </si>
  <si>
    <t>SCE_LVG_TXN_F</t>
  </si>
  <si>
    <t>SCE_HIGH_LVG_TXN_F</t>
  </si>
  <si>
    <t>HN_WRL_TRD</t>
  </si>
  <si>
    <t>ORIGINATING_ENTITY_ID</t>
  </si>
  <si>
    <t>TABLE_SCHEMA</t>
  </si>
  <si>
    <t>COLUMN_NAME</t>
  </si>
  <si>
    <t>DATA_TYPE</t>
  </si>
  <si>
    <t>Upper Case</t>
  </si>
  <si>
    <t>dbo</t>
  </si>
  <si>
    <t>FI_STG_CLT_AR_LINE_ALLOCATION</t>
  </si>
  <si>
    <t>datetime</t>
  </si>
  <si>
    <t>nvarchar(40)</t>
  </si>
  <si>
    <t>nvarchar(10)</t>
  </si>
  <si>
    <t>nvarchar(50)</t>
  </si>
  <si>
    <t>FI_STG_CLT_AR_VALUE_ALLOCATION</t>
  </si>
  <si>
    <t>CLT_AR_BEST_EST_VAL_ALCT_AMT</t>
  </si>
  <si>
    <t>numeric(23, 2)</t>
  </si>
  <si>
    <t>nvarchar(100)</t>
  </si>
  <si>
    <t>FI_STG_CLT_OBJ_LINE_ALLOCATION</t>
  </si>
  <si>
    <t>FI_STG_CLT_OBJ_TO_AR_LINE_ALLOCATION</t>
  </si>
  <si>
    <t>CHRG_RANK_NO</t>
  </si>
  <si>
    <t>nvarchar(5)</t>
  </si>
  <si>
    <t>FI_STG_CLT_OBJ_TO_AR_VALUE_ALLOCATION</t>
  </si>
  <si>
    <t>CLT_OBJ_TO_AR_BEST_EST_VAL_ALCT_AMT</t>
  </si>
  <si>
    <t>FI_STG_CLT_OBJ_VALUE_ALLOCATION</t>
  </si>
  <si>
    <t>CLT_OBJ_BEST_EST_VAL_ALCT_AMT</t>
  </si>
  <si>
    <t>FI_STG_Collateral_Arrangement</t>
  </si>
  <si>
    <t>CLT_AR_CAT_CODE</t>
  </si>
  <si>
    <t>date</t>
  </si>
  <si>
    <t>CLT_AR_EXT_PARTY_F</t>
  </si>
  <si>
    <t>numeric(1, 0)</t>
  </si>
  <si>
    <t>CLT_AR_TP_CODE</t>
  </si>
  <si>
    <t>nvarchar(6)</t>
  </si>
  <si>
    <t>FI_STG_Collateral_Item</t>
  </si>
  <si>
    <t>numeric(18, 2)</t>
  </si>
  <si>
    <t>COL_CTY_OF_JRSD</t>
  </si>
  <si>
    <t>nvarchar(2)</t>
  </si>
  <si>
    <t>COL_ORIG_VAL_EUR</t>
  </si>
  <si>
    <t>COL_RABO_STAKE</t>
  </si>
  <si>
    <t>numeric(5, 2)</t>
  </si>
  <si>
    <t>COL_RANK_OF_SCR</t>
  </si>
  <si>
    <t>COL_SHARING_IND</t>
  </si>
  <si>
    <t>nvarchar(20)</t>
  </si>
  <si>
    <t>nvarchar(128)</t>
  </si>
  <si>
    <t>COM_TP</t>
  </si>
  <si>
    <t>EQ_TP</t>
  </si>
  <si>
    <t>FA_SBTP</t>
  </si>
  <si>
    <t>INT_TP</t>
  </si>
  <si>
    <t>INV_TP</t>
  </si>
  <si>
    <t>PARTY_EXT_RTGS_FK</t>
  </si>
  <si>
    <t>nvarchar(255)</t>
  </si>
  <si>
    <t>PRJ_TP</t>
  </si>
  <si>
    <t>RE_CRE_HISTORIC_AV_MKT_VAL_EUR</t>
  </si>
  <si>
    <t>RE_OBG_PRIM_RSDNC_F</t>
  </si>
  <si>
    <t>nvarchar(3)</t>
  </si>
  <si>
    <t>RE_RRE_HISTORIC_AV_MKT_VAL_EUR</t>
  </si>
  <si>
    <t>RE_STE_OF_COMPL</t>
  </si>
  <si>
    <t>REA_CLT_AGRI_TP</t>
  </si>
  <si>
    <t>REC_TP</t>
  </si>
  <si>
    <t>UFC_TP</t>
  </si>
  <si>
    <t>FI_STG_Collateral_Object</t>
  </si>
  <si>
    <t>CLT_OBJ_CAT_CODE</t>
  </si>
  <si>
    <t>CLT_OBJ_CONSTR_COMPL_F</t>
  </si>
  <si>
    <t>REAL_ESTT_OBG_PRIM_RSDNC_F</t>
  </si>
  <si>
    <t>REAL_ESTT_RENTED_F</t>
  </si>
  <si>
    <t>FI_STG_Collateral_Object_Eligibility</t>
  </si>
  <si>
    <t>CLT_OBJ_ELIG_A_IRB_F</t>
  </si>
  <si>
    <t>nvarchar(1)</t>
  </si>
  <si>
    <t>CLT_OBJ_ELIG_BUS_REF_DTS</t>
  </si>
  <si>
    <t>CLT_OBJ_ELIG_F_IRB_F</t>
  </si>
  <si>
    <t>CLT_OBJ_ELIG_SA_F</t>
  </si>
  <si>
    <t>REG_FCY_BK</t>
  </si>
  <si>
    <t>FI_STG_Collateral_Object_Value</t>
  </si>
  <si>
    <t>CLT_OBJ_VAL_APPRSR_NM</t>
  </si>
  <si>
    <t>numeric(28, 2)</t>
  </si>
  <si>
    <t>nvarchar(60)</t>
  </si>
  <si>
    <t>FI_STG_Collateral_Protection_Type_DRB</t>
  </si>
  <si>
    <t>BASEL4_DRB_CLT_BK</t>
  </si>
  <si>
    <t>CLT_PROT_BUS_REF_DTS</t>
  </si>
  <si>
    <t>CLT_PROT_SBSBTP</t>
  </si>
  <si>
    <t>CLT_PROT_SBTP</t>
  </si>
  <si>
    <t>CLT_PROT_TP</t>
  </si>
  <si>
    <t>DRB_CLT_OBJ_CAT_CODE</t>
  </si>
  <si>
    <t>DRB_CLT_OBJ_TP_CODE</t>
  </si>
  <si>
    <t>FI_STG_Collateral_Protection_Type_WRL</t>
  </si>
  <si>
    <t>CLT_PROT_TP_BK</t>
  </si>
  <si>
    <t>nvarchar(250)</t>
  </si>
  <si>
    <t>FI_STG_Country_Rating</t>
  </si>
  <si>
    <t>CTY_RTG_BUS_REF_DTS</t>
  </si>
  <si>
    <t>ISO2_COUNTRY_CODE</t>
  </si>
  <si>
    <t>nvarchar(4)</t>
  </si>
  <si>
    <t>PARTY_EXT_RTGS_BK</t>
  </si>
  <si>
    <t>FI_STG_Financial_Statement</t>
  </si>
  <si>
    <t>CRL_FNS_ENT_ID</t>
  </si>
  <si>
    <t>numeric(10, 0)</t>
  </si>
  <si>
    <t>CRL_FNS_STMT_ID</t>
  </si>
  <si>
    <t>CRL_FNS_TOT_AST_CCY_AMT</t>
  </si>
  <si>
    <t>numeric(26, 6)</t>
  </si>
  <si>
    <t>FNS_BUS_REF_DTS</t>
  </si>
  <si>
    <t>FI_STG_FX_Rate</t>
  </si>
  <si>
    <t>CCY_BK</t>
  </si>
  <si>
    <t>CCY_TO_BK</t>
  </si>
  <si>
    <t>EXG_RATE</t>
  </si>
  <si>
    <t>numeric(19, 9)</t>
  </si>
  <si>
    <t>EXG_RATE_STRT_DTS</t>
  </si>
  <si>
    <t>FI_STG_Global_Party</t>
  </si>
  <si>
    <t>GLBL_PARTY_BK</t>
  </si>
  <si>
    <t>GLBL_PARTY_BUS_REF_DTS</t>
  </si>
  <si>
    <t>GLBL_PARTY_NO</t>
  </si>
  <si>
    <t>GLBL_PARTY_SSM_CODE</t>
  </si>
  <si>
    <t>FI_STG_Global_Party_External_Ratings</t>
  </si>
  <si>
    <t>GLBL_PARTY_DMST_CCY_CODE</t>
  </si>
  <si>
    <t>GLBL_PARTY_EXT_RTGS_BUS_REF_DTS</t>
  </si>
  <si>
    <t>FI_STG_Obligor</t>
  </si>
  <si>
    <t>CTYOFRSK</t>
  </si>
  <si>
    <t>GLBL_CLNT_RABO_HD_OFFC_COM_RPT_CL_CODE</t>
  </si>
  <si>
    <t>GLBL_PARTY_FK</t>
  </si>
  <si>
    <t>nvarchar(61)</t>
  </si>
  <si>
    <t>OBG_ANUL_TVR_EUR_AMT</t>
  </si>
  <si>
    <t>OBG_RTG_OWN_BU_CODE</t>
  </si>
  <si>
    <t>OBLGOR_BK</t>
  </si>
  <si>
    <t>OBLGOR_TRGR_TRTM_AST_CLSS_CODE</t>
  </si>
  <si>
    <t>ONE_OBG_BUS_REF_DTS</t>
  </si>
  <si>
    <t>ONE_OBG_NO</t>
  </si>
  <si>
    <t>ONE_OBG_SSM_CODE</t>
  </si>
  <si>
    <t>FI_STG_Obligor_Collateral_Protection_Type_DRB</t>
  </si>
  <si>
    <t>FI_STG_Obligor_Collateral_Protection_Type_WRL</t>
  </si>
  <si>
    <t>FI_STG_Obligor_Composition</t>
  </si>
  <si>
    <t>OBG_CMPOS_BUS_REF_DTS</t>
  </si>
  <si>
    <t>OBLGOR_CMPOS_RL_CODE</t>
  </si>
  <si>
    <t>OBLGOR_FK</t>
  </si>
  <si>
    <t>FI_STG_Obligor_CRC</t>
  </si>
  <si>
    <t>nvarchar(22)</t>
  </si>
  <si>
    <t>FI_STG_Obligor_DPD</t>
  </si>
  <si>
    <t>int</t>
  </si>
  <si>
    <t>OBG_DYS_PAST_DUE_CNTER_STRT_DT</t>
  </si>
  <si>
    <t>FI_STG_Obligor_PD</t>
  </si>
  <si>
    <t>FNC_STMT_ENT_FK</t>
  </si>
  <si>
    <t>OBG_PD_APRV_DTS</t>
  </si>
  <si>
    <t>OBG_PD_BEST_EST_PCT</t>
  </si>
  <si>
    <t>numeric(9, 8)</t>
  </si>
  <si>
    <t>OBG_PD_CLCN_INPT_MTH_CODE</t>
  </si>
  <si>
    <t>nvarchar(64)</t>
  </si>
  <si>
    <t>OBG_PD_RABO_RSK_RTG_RCPTL_CODE</t>
  </si>
  <si>
    <t>FI_STG_One_Obligor</t>
  </si>
  <si>
    <t>ONE_OBG_BK</t>
  </si>
  <si>
    <t>FI_STG_Q_Factor_Lookup</t>
  </si>
  <si>
    <t>CAS_OFFBAL_PD_Q_FCTR</t>
  </si>
  <si>
    <t>numeric(23, 13)</t>
  </si>
  <si>
    <t>Q_FCTR_BUS_REF_DTS</t>
  </si>
  <si>
    <t>Q_FCTR_LKP_BK</t>
  </si>
  <si>
    <t>FI_STG_Reference_Country</t>
  </si>
  <si>
    <t>CTY_CRR_APPLY_LOW_RW_EEA_EQV_F_BASEL4_CTY_TI_DS</t>
  </si>
  <si>
    <t>CTY_CRR_CR_INST_EEA_EQV_F_BASEL4_CTY_TI_DS</t>
  </si>
  <si>
    <t>CTY_CRR_IVSM_FIRM_EEA_EQV_F_BASEL4_CTY_TI_DS</t>
  </si>
  <si>
    <t>CTY_DVLPM_ST_CODE_BASEL4_CTY_TI_DS</t>
  </si>
  <si>
    <t>CTY_DVLPM_ST_SHRT_CODE_BASEL4_CTY_TI_DS</t>
  </si>
  <si>
    <t>ISO_CCY_A3_CODE_BASEL4_CTY_TI_DS</t>
  </si>
  <si>
    <t>ISO_CTY_BK</t>
  </si>
  <si>
    <t>RABO_CTY_EEA_F_BASEL4_CTY_TI_DS</t>
  </si>
  <si>
    <t>REF_CTY_BUS_REF_DTS</t>
  </si>
  <si>
    <t>FI_STG_Regulatory_Facility</t>
  </si>
  <si>
    <t>REG_FCY_ON_BAL_OTSND_TOT_ESR_AMT</t>
  </si>
  <si>
    <t>FI_STG_Regulatory_Facility_EAD</t>
  </si>
  <si>
    <t>FCY_CTR_RATE</t>
  </si>
  <si>
    <t>numeric(10, 6)</t>
  </si>
  <si>
    <t>REG_FCY_EAD_BEST_EST_AMT</t>
  </si>
  <si>
    <t>REG_FCY_EAD_CALCULATOR_VRSN_NBR</t>
  </si>
  <si>
    <t>nvarchar(11)</t>
  </si>
  <si>
    <t>REG_FCY_EAD_CRT_DTS</t>
  </si>
  <si>
    <t>REG_FCY_EAD_EXTRACTN_DTS</t>
  </si>
  <si>
    <t>REG_FCY_EAD_HDROOM_BEST_EST_AMT</t>
  </si>
  <si>
    <t>REG_FCY_EAD_HDROOM_RCPTL_AMT</t>
  </si>
  <si>
    <t>REG_FCY_EAD_K_FCTR_CALB_BEST_EST_PCT</t>
  </si>
  <si>
    <t>numeric(16, 15)</t>
  </si>
  <si>
    <t>REG_FCY_EAD_K_FCTR_CALB_INL_PCT</t>
  </si>
  <si>
    <t>REG_FCY_EAD_K_FCTR_CALB_RCPTL_PCT</t>
  </si>
  <si>
    <t>REG_FCY_EAD_K_FCTR_USR_OVRD_PCT</t>
  </si>
  <si>
    <t>REG_FCY_EAD_LAST_CHG_DTS</t>
  </si>
  <si>
    <t>REG_FCY_EAD_MODL_ID</t>
  </si>
  <si>
    <t>REG_FCY_EAD_MODL_NM</t>
  </si>
  <si>
    <t>REG_FCY_EAD_MODL_VRSN_NBR</t>
  </si>
  <si>
    <t>REG_FCY_EAD_SMDL_TP_CODE</t>
  </si>
  <si>
    <t>SNGL_CR_ESR_BK</t>
  </si>
  <si>
    <t>FI_STG_Regulatory_Facility_LGD</t>
  </si>
  <si>
    <t>REG_FCY_LGD_BASEL_RWGHT_AF_UFCP_ADJ_RTO</t>
  </si>
  <si>
    <t>numeric(23, 8)</t>
  </si>
  <si>
    <t>REG_FCY_LGD_BASEL_RWGHT_RTO</t>
  </si>
  <si>
    <t>REG_FCY_LGD_BEST_EST_PCT</t>
  </si>
  <si>
    <t>REG_FCY_LGD_ELOSS_BEST_EST_PCT</t>
  </si>
  <si>
    <t>REG_FCY_LGD_LGC_LOSS_RTO</t>
  </si>
  <si>
    <t>REG_FCY_LGD_MODL_ID</t>
  </si>
  <si>
    <t>REG_FCY_LGD_MODL_NM</t>
  </si>
  <si>
    <t>REG_FCY_LGD_NRE_LOSS_RTO</t>
  </si>
  <si>
    <t>REG_FCY_LGD_PRBL_OF_SALE_PCT</t>
  </si>
  <si>
    <t>REG_FCY_LGD_RCPTL_ADD_ON_PCT</t>
  </si>
  <si>
    <t>REG_FCY_LGD_USR_OVRD_VAL</t>
  </si>
  <si>
    <t>FI_STG_SCE_Agreement</t>
  </si>
  <si>
    <t>DIV</t>
  </si>
  <si>
    <t>DRAWING_END_DATE</t>
  </si>
  <si>
    <t>FD_COMMITTED_IND</t>
  </si>
  <si>
    <t>GRPENT</t>
  </si>
  <si>
    <t>GRPLVL</t>
  </si>
  <si>
    <t>REVOLVING_IND</t>
  </si>
  <si>
    <t>SCE_AGRM_BU_CODE</t>
  </si>
  <si>
    <t>SCE_AGRM_CCY_CODE</t>
  </si>
  <si>
    <t>SCE_AGRM_OPERATING_UNIT_CODE</t>
  </si>
  <si>
    <t>nvarchar(8)</t>
  </si>
  <si>
    <t>SCE_LVL_CODE</t>
  </si>
  <si>
    <t>SELF_LIQUIDATING_IND</t>
  </si>
  <si>
    <t>FI_STG_SCE_Product</t>
  </si>
  <si>
    <t>INST_GUARANTEE_TYPE_CODE</t>
  </si>
  <si>
    <t>ProductID</t>
  </si>
  <si>
    <t>SCE_PD_BU_CODE</t>
  </si>
  <si>
    <t>SCE_PD_CCY_CODE</t>
  </si>
  <si>
    <t>numeric(15, 10)</t>
  </si>
  <si>
    <t>SCE_PD_OPERATING_UNIT_CODE</t>
  </si>
  <si>
    <t>SCE_PD_ORG_OTSND_AMT</t>
  </si>
  <si>
    <t>SCE_PD_REPYMT_TP_CODE</t>
  </si>
  <si>
    <t>SCE_PD_SUB_TP_CODE</t>
  </si>
  <si>
    <t>SCE_PD_SYS_REF_DTS</t>
  </si>
  <si>
    <t>FI_STG_SCE_Product_DER</t>
  </si>
  <si>
    <t>FMR_TRD_REG_CPTL_EAD_CCY_CODE</t>
  </si>
  <si>
    <t>FMR_TRD_REG_CPTL_MODL_CODE</t>
  </si>
  <si>
    <t>FMR_TRD_RLSHP_CODE</t>
  </si>
  <si>
    <t>nvarchar(32)</t>
  </si>
  <si>
    <t>FMR_TRD_STD_APRC_MODL_CODE</t>
  </si>
  <si>
    <t>FI_STG_SCE_Product_EAD</t>
  </si>
  <si>
    <t>SNGL_CR_ESR_EAD_BEST_EST_AMT</t>
  </si>
  <si>
    <t>Attribute Name</t>
  </si>
  <si>
    <t>Nullable</t>
  </si>
  <si>
    <t>No</t>
  </si>
  <si>
    <t>Yes</t>
  </si>
  <si>
    <t>Decimal (18,2)</t>
  </si>
  <si>
    <t>REPORTINGDATE</t>
  </si>
  <si>
    <t>nvarchar(300)</t>
  </si>
  <si>
    <t>COL_OBJ_AR_FACILITY_KEY</t>
  </si>
  <si>
    <t>COLLATERALAGREEMENTID</t>
  </si>
  <si>
    <t>numeric(32, 2)</t>
  </si>
  <si>
    <t>FITCHPROTECTIONPROVIDERDOMESTICRATING</t>
  </si>
  <si>
    <t>MOODYSPROTECTIONPROVIDERDOMESTICRATING</t>
  </si>
  <si>
    <t>SPPROTECTIONPROVIDERDOMESTICRATING</t>
  </si>
  <si>
    <t>PPCGCBFLAG</t>
  </si>
  <si>
    <t>PPNAME</t>
  </si>
  <si>
    <t>FITCHPPSOVEREIGNDOMESTICRATING</t>
  </si>
  <si>
    <t>MOODYSPPSOVEREIGNDOMESTICRATING</t>
  </si>
  <si>
    <t>SPPPSOVEREIGNDOMESTICRATING</t>
  </si>
  <si>
    <t>FI_STG_Collateral_Guarantees_WRL</t>
  </si>
  <si>
    <t>TABLE_NAME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</si>
</sst>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</font>
    <font>
      <b/>
      <sz val="11"/>
      <color theme="1"/>
      <name val="Aptos Narrow"/>
      <family val="2"/>
      <scheme val="minor"/>
    </font>
    <font>
      <sz val="6"/>
      <color rgb="FF000000"/>
      <name val="Consolas"/>
      <family val="3"/>
    </font>
    <font>
      <sz val="7"/>
      <color theme="1"/>
      <name val="Segoe U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Calibri"/>
      <family val="2"/>
    </font>
    <font>
      <strike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name val="Calibri"/>
    </font>
    <font>
      <sz val="11"/>
      <color rgb="FF000000"/>
      <name val="Calibri"/>
    </font>
    <font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215C98"/>
        <bgColor indexed="64"/>
      </patternFill>
    </fill>
    <fill>
      <patternFill patternType="solid">
        <fgColor rgb="FF215C9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1BC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1">
    <xf numFmtId="0" fontId="0" fillId="0" borderId="0" xfId="0"/>
    <xf numFmtId="0" fontId="3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6" fillId="3" borderId="3" xfId="0" applyFont="1" applyFill="1" applyBorder="1" applyAlignment="1">
      <alignment horizontal="centerContinuous"/>
    </xf>
    <xf numFmtId="0" fontId="6" fillId="3" borderId="4" xfId="0" applyFont="1" applyFill="1" applyBorder="1" applyAlignment="1">
      <alignment horizontal="centerContinuous"/>
    </xf>
    <xf numFmtId="0" fontId="5" fillId="0" borderId="0" xfId="0" applyFont="1" applyAlignment="1">
      <alignment wrapText="1"/>
    </xf>
    <xf numFmtId="0" fontId="6" fillId="2" borderId="2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4" fillId="0" borderId="1" xfId="1" applyFont="1" applyBorder="1"/>
    <xf numFmtId="0" fontId="3" fillId="0" borderId="1" xfId="1" applyFont="1" applyBorder="1"/>
    <xf numFmtId="0" fontId="1" fillId="0" borderId="1" xfId="1" applyFont="1" applyBorder="1"/>
    <xf numFmtId="0" fontId="0" fillId="0" borderId="1" xfId="0" applyBorder="1"/>
    <xf numFmtId="0" fontId="4" fillId="0" borderId="8" xfId="1" applyFont="1" applyBorder="1"/>
    <xf numFmtId="0" fontId="3" fillId="0" borderId="1" xfId="0" applyFont="1" applyBorder="1" applyAlignment="1">
      <alignment horizontal="left" vertical="center"/>
    </xf>
    <xf numFmtId="0" fontId="3" fillId="0" borderId="9" xfId="1" applyFont="1" applyBorder="1"/>
    <xf numFmtId="0" fontId="3" fillId="0" borderId="10" xfId="1" applyFont="1" applyBorder="1"/>
    <xf numFmtId="0" fontId="3" fillId="0" borderId="10" xfId="1" applyFont="1" applyBorder="1" applyAlignment="1">
      <alignment horizontal="left" vertical="top"/>
    </xf>
    <xf numFmtId="0" fontId="4" fillId="0" borderId="1" xfId="0" applyFont="1" applyBorder="1" applyAlignment="1">
      <alignment wrapText="1"/>
    </xf>
    <xf numFmtId="0" fontId="9" fillId="0" borderId="1" xfId="0" applyFont="1" applyBorder="1"/>
    <xf numFmtId="0" fontId="3" fillId="0" borderId="1" xfId="0" applyFont="1" applyBorder="1" applyAlignment="1">
      <alignment wrapText="1"/>
    </xf>
    <xf numFmtId="0" fontId="3" fillId="0" borderId="10" xfId="0" applyFont="1" applyBorder="1"/>
    <xf numFmtId="0" fontId="8" fillId="0" borderId="10" xfId="0" applyFont="1" applyBorder="1"/>
    <xf numFmtId="0" fontId="3" fillId="0" borderId="11" xfId="1" applyFont="1" applyBorder="1"/>
    <xf numFmtId="0" fontId="1" fillId="0" borderId="0" xfId="1" applyFont="1"/>
    <xf numFmtId="0" fontId="6" fillId="2" borderId="2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0" fillId="9" borderId="2" xfId="0" applyFont="1" applyFill="1" applyBorder="1" applyAlignment="1">
      <alignment vertical="center" wrapText="1"/>
    </xf>
    <xf numFmtId="0" fontId="3" fillId="8" borderId="1" xfId="0" applyFont="1" applyFill="1" applyBorder="1"/>
    <xf numFmtId="0" fontId="3" fillId="10" borderId="1" xfId="0" applyFont="1" applyFill="1" applyBorder="1"/>
    <xf numFmtId="0" fontId="10" fillId="0" borderId="0" xfId="0" applyFont="1"/>
    <xf numFmtId="0" fontId="10" fillId="11" borderId="1" xfId="0" applyFont="1" applyFill="1" applyBorder="1"/>
    <xf numFmtId="0" fontId="0" fillId="8" borderId="1" xfId="0" applyFill="1" applyBorder="1"/>
    <xf numFmtId="0" fontId="12" fillId="0" borderId="0" xfId="0" applyFont="1" applyAlignment="1">
      <alignment vertical="center"/>
    </xf>
    <xf numFmtId="0" fontId="3" fillId="0" borderId="7" xfId="0" applyFont="1" applyBorder="1"/>
    <xf numFmtId="0" fontId="0" fillId="0" borderId="0" xfId="0" applyAlignment="1">
      <alignment wrapText="1"/>
    </xf>
    <xf numFmtId="0" fontId="3" fillId="0" borderId="12" xfId="0" applyFont="1" applyBorder="1"/>
    <xf numFmtId="0" fontId="11" fillId="0" borderId="1" xfId="0" applyFont="1" applyBorder="1" applyAlignment="1">
      <alignment vertical="center"/>
    </xf>
    <xf numFmtId="0" fontId="3" fillId="10" borderId="1" xfId="0" applyFont="1" applyFill="1" applyBorder="1" applyAlignment="1">
      <alignment wrapText="1"/>
    </xf>
    <xf numFmtId="0" fontId="4" fillId="10" borderId="1" xfId="1" applyFont="1" applyFill="1" applyBorder="1"/>
    <xf numFmtId="0" fontId="3" fillId="8" borderId="10" xfId="0" applyFont="1" applyFill="1" applyBorder="1"/>
    <xf numFmtId="0" fontId="3" fillId="8" borderId="10" xfId="1" applyFont="1" applyFill="1" applyBorder="1"/>
    <xf numFmtId="0" fontId="4" fillId="0" borderId="10" xfId="1" applyFont="1" applyBorder="1"/>
    <xf numFmtId="0" fontId="4" fillId="12" borderId="10" xfId="1" applyFont="1" applyFill="1" applyBorder="1"/>
    <xf numFmtId="0" fontId="3" fillId="0" borderId="13" xfId="0" applyFont="1" applyBorder="1"/>
    <xf numFmtId="0" fontId="3" fillId="0" borderId="13" xfId="1" applyFont="1" applyBorder="1"/>
    <xf numFmtId="0" fontId="0" fillId="0" borderId="1" xfId="0" applyBorder="1" applyAlignment="1">
      <alignment wrapText="1"/>
    </xf>
    <xf numFmtId="0" fontId="3" fillId="12" borderId="10" xfId="0" applyFont="1" applyFill="1" applyBorder="1"/>
    <xf numFmtId="0" fontId="3" fillId="12" borderId="13" xfId="0" applyFont="1" applyFill="1" applyBorder="1"/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11" fillId="10" borderId="1" xfId="0" applyFont="1" applyFill="1" applyBorder="1" applyAlignment="1">
      <alignment vertical="center"/>
    </xf>
    <xf numFmtId="0" fontId="4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9" fillId="0" borderId="10" xfId="0" applyFont="1" applyBorder="1"/>
    <xf numFmtId="0" fontId="14" fillId="0" borderId="8" xfId="1" applyFont="1" applyBorder="1"/>
    <xf numFmtId="0" fontId="14" fillId="0" borderId="1" xfId="0" applyFont="1" applyBorder="1"/>
    <xf numFmtId="0" fontId="14" fillId="0" borderId="12" xfId="0" applyFont="1" applyBorder="1"/>
    <xf numFmtId="0" fontId="14" fillId="0" borderId="7" xfId="0" applyFont="1" applyBorder="1"/>
    <xf numFmtId="0" fontId="14" fillId="0" borderId="14" xfId="0" applyFont="1" applyBorder="1"/>
    <xf numFmtId="0" fontId="3" fillId="0" borderId="9" xfId="0" applyFont="1" applyBorder="1"/>
    <xf numFmtId="0" fontId="6" fillId="2" borderId="15" xfId="0" applyFont="1" applyFill="1" applyBorder="1" applyAlignment="1">
      <alignment wrapText="1"/>
    </xf>
    <xf numFmtId="0" fontId="6" fillId="4" borderId="16" xfId="0" applyFont="1" applyFill="1" applyBorder="1" applyAlignment="1">
      <alignment wrapText="1"/>
    </xf>
    <xf numFmtId="0" fontId="6" fillId="4" borderId="15" xfId="0" applyFont="1" applyFill="1" applyBorder="1" applyAlignment="1">
      <alignment wrapText="1"/>
    </xf>
    <xf numFmtId="0" fontId="7" fillId="0" borderId="17" xfId="0" applyFont="1" applyBorder="1"/>
    <xf numFmtId="0" fontId="0" fillId="0" borderId="10" xfId="0" applyBorder="1"/>
    <xf numFmtId="0" fontId="4" fillId="0" borderId="10" xfId="0" applyFont="1" applyBorder="1"/>
    <xf numFmtId="0" fontId="3" fillId="0" borderId="10" xfId="1" applyFont="1" applyBorder="1" applyAlignment="1">
      <alignment vertical="top"/>
    </xf>
    <xf numFmtId="0" fontId="1" fillId="0" borderId="10" xfId="1" applyFont="1" applyBorder="1" applyAlignment="1">
      <alignment vertical="top"/>
    </xf>
    <xf numFmtId="0" fontId="1" fillId="0" borderId="10" xfId="1" applyFont="1" applyBorder="1"/>
    <xf numFmtId="0" fontId="1" fillId="0" borderId="10" xfId="0" applyFont="1" applyBorder="1" applyAlignment="1">
      <alignment horizontal="left"/>
    </xf>
    <xf numFmtId="0" fontId="6" fillId="2" borderId="10" xfId="0" applyFont="1" applyFill="1" applyBorder="1"/>
    <xf numFmtId="0" fontId="7" fillId="0" borderId="10" xfId="0" applyFont="1" applyBorder="1"/>
    <xf numFmtId="0" fontId="3" fillId="6" borderId="10" xfId="1" applyFont="1" applyFill="1" applyBorder="1"/>
    <xf numFmtId="0" fontId="3" fillId="7" borderId="10" xfId="1" applyFont="1" applyFill="1" applyBorder="1"/>
    <xf numFmtId="0" fontId="3" fillId="5" borderId="10" xfId="0" applyFont="1" applyFill="1" applyBorder="1"/>
    <xf numFmtId="0" fontId="3" fillId="13" borderId="10" xfId="1" applyFont="1" applyFill="1" applyBorder="1"/>
    <xf numFmtId="0" fontId="3" fillId="0" borderId="15" xfId="0" applyFont="1" applyBorder="1"/>
    <xf numFmtId="0" fontId="15" fillId="0" borderId="0" xfId="0" applyFont="1"/>
    <xf numFmtId="0" fontId="16" fillId="0" borderId="1" xfId="0" applyFont="1" applyBorder="1"/>
    <xf numFmtId="0" fontId="17" fillId="0" borderId="1" xfId="0" applyFont="1" applyBorder="1"/>
    <xf numFmtId="0" fontId="16" fillId="0" borderId="1" xfId="1" applyFont="1" applyBorder="1"/>
    <xf numFmtId="0" fontId="14" fillId="0" borderId="1" xfId="0" applyFont="1" applyBorder="1" applyAlignment="1">
      <alignment wrapText="1"/>
    </xf>
    <xf numFmtId="0" fontId="3" fillId="0" borderId="0" xfId="1" applyFont="1"/>
    <xf numFmtId="0" fontId="19" fillId="0" borderId="0" xfId="0" applyFont="1"/>
    <xf numFmtId="0" fontId="3" fillId="11" borderId="10" xfId="1" applyFont="1" applyFill="1" applyBorder="1"/>
    <xf numFmtId="0" fontId="0" fillId="0" borderId="18" xfId="0" applyBorder="1"/>
    <xf numFmtId="0" fontId="20" fillId="0" borderId="10" xfId="0" applyFont="1" applyBorder="1"/>
    <xf numFmtId="0" fontId="20" fillId="0" borderId="10" xfId="1" applyFont="1" applyBorder="1"/>
    <xf numFmtId="0" fontId="21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0" xfId="1" applyFont="1" applyBorder="1" applyAlignment="1">
      <alignment vertical="top"/>
    </xf>
    <xf numFmtId="0" fontId="20" fillId="0" borderId="10" xfId="1" applyFont="1" applyBorder="1" applyAlignment="1">
      <alignment horizontal="left" vertical="top"/>
    </xf>
    <xf numFmtId="0" fontId="22" fillId="0" borderId="10" xfId="0" applyFont="1" applyBorder="1"/>
    <xf numFmtId="0" fontId="20" fillId="0" borderId="0" xfId="1" applyFont="1"/>
    <xf numFmtId="0" fontId="6" fillId="2" borderId="10" xfId="0" applyFont="1" applyFill="1" applyBorder="1" applyAlignment="1">
      <alignment vertical="center"/>
    </xf>
    <xf numFmtId="0" fontId="20" fillId="14" borderId="10" xfId="1" applyFont="1" applyFill="1" applyBorder="1"/>
    <xf numFmtId="0" fontId="21" fillId="14" borderId="10" xfId="0" applyFont="1" applyFill="1" applyBorder="1" applyAlignment="1">
      <alignment wrapText="1"/>
    </xf>
    <xf numFmtId="0" fontId="0" fillId="14" borderId="10" xfId="0" applyFill="1" applyBorder="1"/>
    <xf numFmtId="0" fontId="20" fillId="14" borderId="10" xfId="0" applyFont="1" applyFill="1" applyBorder="1" applyAlignment="1">
      <alignment wrapText="1"/>
    </xf>
    <xf numFmtId="0" fontId="8" fillId="14" borderId="10" xfId="0" applyFont="1" applyFill="1" applyBorder="1"/>
    <xf numFmtId="0" fontId="21" fillId="14" borderId="10" xfId="0" applyFont="1" applyFill="1" applyBorder="1"/>
    <xf numFmtId="0" fontId="20" fillId="14" borderId="10" xfId="0" applyFont="1" applyFill="1" applyBorder="1"/>
    <xf numFmtId="0" fontId="22" fillId="14" borderId="10" xfId="0" applyFont="1" applyFill="1" applyBorder="1"/>
    <xf numFmtId="0" fontId="20" fillId="14" borderId="10" xfId="1" applyFont="1" applyFill="1" applyBorder="1" applyAlignment="1">
      <alignment vertical="top"/>
    </xf>
    <xf numFmtId="0" fontId="3" fillId="14" borderId="10" xfId="1" applyFont="1" applyFill="1" applyBorder="1"/>
    <xf numFmtId="0" fontId="4" fillId="14" borderId="10" xfId="0" applyFont="1" applyFill="1" applyBorder="1"/>
    <xf numFmtId="0" fontId="3" fillId="14" borderId="10" xfId="0" applyFont="1" applyFill="1" applyBorder="1"/>
    <xf numFmtId="0" fontId="9" fillId="14" borderId="10" xfId="0" applyFont="1" applyFill="1" applyBorder="1"/>
    <xf numFmtId="0" fontId="3" fillId="14" borderId="10" xfId="1" applyFont="1" applyFill="1" applyBorder="1" applyAlignment="1">
      <alignment vertical="top"/>
    </xf>
    <xf numFmtId="0" fontId="6" fillId="2" borderId="10" xfId="0" applyFont="1" applyFill="1" applyBorder="1" applyAlignment="1">
      <alignment wrapText="1"/>
    </xf>
    <xf numFmtId="0" fontId="4" fillId="0" borderId="13" xfId="0" applyFont="1" applyBorder="1"/>
    <xf numFmtId="0" fontId="3" fillId="14" borderId="13" xfId="1" applyFont="1" applyFill="1" applyBorder="1"/>
    <xf numFmtId="0" fontId="4" fillId="14" borderId="13" xfId="0" applyFont="1" applyFill="1" applyBorder="1"/>
    <xf numFmtId="0" fontId="9" fillId="14" borderId="13" xfId="0" applyFont="1" applyFill="1" applyBorder="1"/>
    <xf numFmtId="0" fontId="9" fillId="0" borderId="13" xfId="0" applyFont="1" applyBorder="1"/>
    <xf numFmtId="0" fontId="6" fillId="2" borderId="11" xfId="0" applyFont="1" applyFill="1" applyBorder="1" applyAlignment="1">
      <alignment vertical="center"/>
    </xf>
  </cellXfs>
  <cellStyles count="2">
    <cellStyle name="Normal" xfId="0" builtinId="0"/>
    <cellStyle name="Normal 2" xfId="1" xr:uid="{614AD9FD-5177-46DD-BAD9-3C0D4D9C70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jha, SP (Surya Prakash)" id="{A0F917DC-7F5A-41D6-97EC-4F0E5D5123DB}" userId="S::Surya.Ojha@rabobank.com::5d8b37dd-11d6-4263-a86a-21cefe63c6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38" dT="2026-08-04T10:41:27.87" personId="{A0F917DC-7F5A-41D6-97EC-4F0E5D5123DB}" id="{0A6AACEF-68C3-4F6C-A647-E3E8ADE678A5}">
    <text>Default NULL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35" dT="2026-08-04T10:41:27.87" personId="{A0F917DC-7F5A-41D6-97EC-4F0E5D5123DB}" id="{D49A8740-87FB-4C25-B62F-671F1CB83F88}">
    <text>Default NULL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AF77-3E76-421A-827C-C4277413D311}">
  <sheetPr filterMode="1"/>
  <dimension ref="B1:H83"/>
  <sheetViews>
    <sheetView workbookViewId="0">
      <selection activeCell="C11" sqref="C11"/>
    </sheetView>
  </sheetViews>
  <sheetFormatPr defaultRowHeight="14.5" x14ac:dyDescent="0.35"/>
  <cols>
    <col min="1" max="1" width="4.453125" customWidth="1"/>
    <col min="2" max="2" width="11.54296875" bestFit="1" customWidth="1"/>
    <col min="3" max="3" width="40.26953125" bestFit="1" customWidth="1"/>
    <col min="4" max="4" width="29.26953125" bestFit="1" customWidth="1"/>
    <col min="5" max="5" width="14.453125" bestFit="1" customWidth="1"/>
    <col min="6" max="6" width="3" bestFit="1" customWidth="1"/>
    <col min="7" max="7" width="41.54296875" bestFit="1" customWidth="1"/>
    <col min="8" max="8" width="8.26953125" bestFit="1" customWidth="1"/>
  </cols>
  <sheetData>
    <row r="1" spans="2:8" ht="29" x14ac:dyDescent="0.35"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65" t="s">
        <v>6</v>
      </c>
    </row>
    <row r="2" spans="2:8" x14ac:dyDescent="0.35">
      <c r="B2" s="46" t="s">
        <v>7</v>
      </c>
      <c r="C2" s="17" t="s">
        <v>8</v>
      </c>
      <c r="D2" s="17" t="s">
        <v>9</v>
      </c>
      <c r="E2" s="17" t="s">
        <v>10</v>
      </c>
      <c r="F2" s="17" t="s">
        <v>4</v>
      </c>
      <c r="G2" s="13" t="s">
        <v>11</v>
      </c>
      <c r="H2" t="s">
        <v>12</v>
      </c>
    </row>
    <row r="3" spans="2:8" x14ac:dyDescent="0.35">
      <c r="B3" s="46" t="s">
        <v>7</v>
      </c>
      <c r="C3" s="17" t="s">
        <v>13</v>
      </c>
      <c r="D3" s="17" t="s">
        <v>9</v>
      </c>
      <c r="E3" s="17" t="s">
        <v>14</v>
      </c>
      <c r="F3" s="17" t="s">
        <v>4</v>
      </c>
      <c r="G3" s="13" t="s">
        <v>11</v>
      </c>
      <c r="H3" t="s">
        <v>12</v>
      </c>
    </row>
    <row r="4" spans="2:8" x14ac:dyDescent="0.35">
      <c r="B4" s="46" t="s">
        <v>7</v>
      </c>
      <c r="C4" s="17" t="s">
        <v>15</v>
      </c>
      <c r="D4" s="17" t="s">
        <v>9</v>
      </c>
      <c r="E4" s="17" t="s">
        <v>16</v>
      </c>
      <c r="F4" s="17" t="s">
        <v>4</v>
      </c>
      <c r="G4" s="13" t="s">
        <v>11</v>
      </c>
      <c r="H4" t="s">
        <v>12</v>
      </c>
    </row>
    <row r="5" spans="2:8" x14ac:dyDescent="0.35">
      <c r="B5" s="46" t="s">
        <v>7</v>
      </c>
      <c r="C5" s="17" t="s">
        <v>17</v>
      </c>
      <c r="D5" s="17" t="s">
        <v>9</v>
      </c>
      <c r="E5" s="17" t="s">
        <v>18</v>
      </c>
      <c r="F5" s="17" t="s">
        <v>4</v>
      </c>
      <c r="G5" s="13" t="s">
        <v>11</v>
      </c>
      <c r="H5" t="s">
        <v>12</v>
      </c>
    </row>
    <row r="6" spans="2:8" x14ac:dyDescent="0.35">
      <c r="B6" s="46" t="s">
        <v>7</v>
      </c>
      <c r="C6" s="17" t="s">
        <v>19</v>
      </c>
      <c r="D6" s="17" t="s">
        <v>9</v>
      </c>
      <c r="E6" s="17" t="s">
        <v>20</v>
      </c>
      <c r="F6" s="17" t="s">
        <v>4</v>
      </c>
      <c r="G6" s="13" t="s">
        <v>11</v>
      </c>
      <c r="H6" t="s">
        <v>12</v>
      </c>
    </row>
    <row r="7" spans="2:8" x14ac:dyDescent="0.35">
      <c r="B7" s="46" t="s">
        <v>7</v>
      </c>
      <c r="C7" s="17" t="s">
        <v>21</v>
      </c>
      <c r="D7" s="17" t="s">
        <v>9</v>
      </c>
      <c r="E7" s="17" t="s">
        <v>14</v>
      </c>
      <c r="F7" s="17" t="s">
        <v>4</v>
      </c>
      <c r="G7" s="13" t="s">
        <v>11</v>
      </c>
      <c r="H7" t="s">
        <v>12</v>
      </c>
    </row>
    <row r="8" spans="2:8" x14ac:dyDescent="0.35">
      <c r="B8" s="46" t="s">
        <v>7</v>
      </c>
      <c r="C8" s="17" t="s">
        <v>22</v>
      </c>
      <c r="D8" s="17" t="s">
        <v>9</v>
      </c>
      <c r="E8" s="17" t="s">
        <v>18</v>
      </c>
      <c r="F8" s="17" t="s">
        <v>4</v>
      </c>
      <c r="G8" s="13" t="s">
        <v>11</v>
      </c>
      <c r="H8" t="s">
        <v>12</v>
      </c>
    </row>
    <row r="9" spans="2:8" x14ac:dyDescent="0.35">
      <c r="B9" s="46" t="s">
        <v>7</v>
      </c>
      <c r="C9" s="17" t="s">
        <v>23</v>
      </c>
      <c r="D9" s="17" t="s">
        <v>9</v>
      </c>
      <c r="E9" s="17" t="s">
        <v>14</v>
      </c>
      <c r="F9" s="17" t="s">
        <v>4</v>
      </c>
      <c r="G9" s="13" t="s">
        <v>11</v>
      </c>
      <c r="H9" t="s">
        <v>12</v>
      </c>
    </row>
    <row r="10" spans="2:8" x14ac:dyDescent="0.35">
      <c r="B10" s="46" t="s">
        <v>7</v>
      </c>
      <c r="C10" s="17" t="s">
        <v>24</v>
      </c>
      <c r="D10" s="17" t="s">
        <v>9</v>
      </c>
      <c r="E10" s="17" t="s">
        <v>25</v>
      </c>
      <c r="F10" s="56"/>
      <c r="G10" s="13" t="s">
        <v>11</v>
      </c>
      <c r="H10" t="s">
        <v>12</v>
      </c>
    </row>
    <row r="11" spans="2:8" x14ac:dyDescent="0.35">
      <c r="B11" s="46" t="s">
        <v>7</v>
      </c>
      <c r="C11" s="17" t="s">
        <v>26</v>
      </c>
      <c r="D11" s="17" t="s">
        <v>9</v>
      </c>
      <c r="E11" s="17" t="s">
        <v>27</v>
      </c>
      <c r="F11" s="56"/>
      <c r="G11" s="13" t="s">
        <v>11</v>
      </c>
      <c r="H11" t="s">
        <v>12</v>
      </c>
    </row>
    <row r="12" spans="2:8" x14ac:dyDescent="0.35">
      <c r="B12" s="46" t="s">
        <v>7</v>
      </c>
      <c r="C12" s="17" t="s">
        <v>28</v>
      </c>
      <c r="D12" s="17" t="s">
        <v>9</v>
      </c>
      <c r="E12" s="17" t="s">
        <v>18</v>
      </c>
      <c r="F12" s="56"/>
      <c r="G12" s="13" t="s">
        <v>11</v>
      </c>
      <c r="H12" t="s">
        <v>12</v>
      </c>
    </row>
    <row r="13" spans="2:8" x14ac:dyDescent="0.35">
      <c r="B13" s="46" t="s">
        <v>7</v>
      </c>
      <c r="C13" s="17" t="s">
        <v>29</v>
      </c>
      <c r="D13" s="17" t="s">
        <v>9</v>
      </c>
      <c r="E13" s="17" t="s">
        <v>18</v>
      </c>
      <c r="F13" s="56"/>
      <c r="G13" s="13" t="s">
        <v>11</v>
      </c>
      <c r="H13" t="s">
        <v>12</v>
      </c>
    </row>
    <row r="14" spans="2:8" x14ac:dyDescent="0.35">
      <c r="B14" s="46" t="s">
        <v>7</v>
      </c>
      <c r="C14" s="22" t="s">
        <v>30</v>
      </c>
      <c r="D14" s="22" t="s">
        <v>9</v>
      </c>
      <c r="E14" s="17" t="s">
        <v>18</v>
      </c>
      <c r="F14" s="56"/>
      <c r="G14" s="13" t="s">
        <v>11</v>
      </c>
      <c r="H14" t="s">
        <v>12</v>
      </c>
    </row>
    <row r="15" spans="2:8" x14ac:dyDescent="0.35">
      <c r="B15" s="46" t="s">
        <v>7</v>
      </c>
      <c r="C15" s="17" t="s">
        <v>31</v>
      </c>
      <c r="D15" s="17" t="s">
        <v>9</v>
      </c>
      <c r="E15" s="22" t="s">
        <v>18</v>
      </c>
      <c r="F15" s="56"/>
      <c r="G15" s="13" t="s">
        <v>11</v>
      </c>
      <c r="H15" t="s">
        <v>12</v>
      </c>
    </row>
    <row r="16" spans="2:8" x14ac:dyDescent="0.35">
      <c r="B16" s="46" t="s">
        <v>7</v>
      </c>
      <c r="C16" s="17" t="s">
        <v>32</v>
      </c>
      <c r="D16" s="17" t="s">
        <v>9</v>
      </c>
      <c r="E16" s="22" t="s">
        <v>33</v>
      </c>
      <c r="F16" s="56"/>
      <c r="G16" s="13" t="s">
        <v>11</v>
      </c>
      <c r="H16" t="s">
        <v>12</v>
      </c>
    </row>
    <row r="17" spans="2:8" x14ac:dyDescent="0.35">
      <c r="B17" s="46" t="s">
        <v>7</v>
      </c>
      <c r="C17" s="17" t="s">
        <v>8</v>
      </c>
      <c r="D17" s="17" t="s">
        <v>34</v>
      </c>
      <c r="E17" s="17" t="s">
        <v>10</v>
      </c>
      <c r="F17" s="17" t="s">
        <v>4</v>
      </c>
      <c r="G17" s="13" t="s">
        <v>11</v>
      </c>
      <c r="H17" t="s">
        <v>12</v>
      </c>
    </row>
    <row r="18" spans="2:8" x14ac:dyDescent="0.35">
      <c r="B18" s="46" t="s">
        <v>7</v>
      </c>
      <c r="C18" s="17" t="s">
        <v>13</v>
      </c>
      <c r="D18" s="17" t="s">
        <v>34</v>
      </c>
      <c r="E18" s="17" t="s">
        <v>14</v>
      </c>
      <c r="F18" s="17" t="s">
        <v>4</v>
      </c>
      <c r="G18" s="13" t="s">
        <v>11</v>
      </c>
      <c r="H18" t="s">
        <v>12</v>
      </c>
    </row>
    <row r="19" spans="2:8" x14ac:dyDescent="0.35">
      <c r="B19" s="46" t="s">
        <v>7</v>
      </c>
      <c r="C19" s="17" t="s">
        <v>19</v>
      </c>
      <c r="D19" s="17" t="s">
        <v>34</v>
      </c>
      <c r="E19" s="17" t="s">
        <v>20</v>
      </c>
      <c r="F19" s="17" t="s">
        <v>4</v>
      </c>
      <c r="G19" s="13" t="s">
        <v>11</v>
      </c>
      <c r="H19" t="s">
        <v>12</v>
      </c>
    </row>
    <row r="20" spans="2:8" x14ac:dyDescent="0.35">
      <c r="B20" s="46" t="s">
        <v>7</v>
      </c>
      <c r="C20" s="17" t="s">
        <v>21</v>
      </c>
      <c r="D20" s="17" t="s">
        <v>34</v>
      </c>
      <c r="E20" s="17" t="s">
        <v>14</v>
      </c>
      <c r="F20" s="17" t="s">
        <v>4</v>
      </c>
      <c r="G20" s="13" t="s">
        <v>11</v>
      </c>
      <c r="H20" t="s">
        <v>12</v>
      </c>
    </row>
    <row r="21" spans="2:8" x14ac:dyDescent="0.35">
      <c r="B21" s="46" t="s">
        <v>7</v>
      </c>
      <c r="C21" s="17" t="s">
        <v>15</v>
      </c>
      <c r="D21" s="17" t="s">
        <v>34</v>
      </c>
      <c r="E21" s="17" t="s">
        <v>16</v>
      </c>
      <c r="F21" s="17" t="s">
        <v>4</v>
      </c>
      <c r="G21" s="13" t="s">
        <v>11</v>
      </c>
      <c r="H21" t="s">
        <v>12</v>
      </c>
    </row>
    <row r="22" spans="2:8" x14ac:dyDescent="0.35">
      <c r="B22" s="46" t="s">
        <v>7</v>
      </c>
      <c r="C22" s="17" t="s">
        <v>17</v>
      </c>
      <c r="D22" s="17" t="s">
        <v>34</v>
      </c>
      <c r="E22" s="17" t="s">
        <v>18</v>
      </c>
      <c r="F22" s="17" t="s">
        <v>4</v>
      </c>
      <c r="G22" s="13" t="s">
        <v>11</v>
      </c>
      <c r="H22" t="s">
        <v>12</v>
      </c>
    </row>
    <row r="23" spans="2:8" x14ac:dyDescent="0.35">
      <c r="B23" s="46" t="s">
        <v>7</v>
      </c>
      <c r="C23" s="17" t="s">
        <v>35</v>
      </c>
      <c r="D23" s="17" t="s">
        <v>34</v>
      </c>
      <c r="E23" s="17" t="s">
        <v>36</v>
      </c>
      <c r="F23" s="17" t="s">
        <v>4</v>
      </c>
      <c r="G23" s="13" t="s">
        <v>11</v>
      </c>
      <c r="H23" t="s">
        <v>12</v>
      </c>
    </row>
    <row r="24" spans="2:8" x14ac:dyDescent="0.35">
      <c r="B24" s="46" t="s">
        <v>7</v>
      </c>
      <c r="C24" s="17" t="s">
        <v>22</v>
      </c>
      <c r="D24" s="17" t="s">
        <v>34</v>
      </c>
      <c r="E24" s="17" t="s">
        <v>18</v>
      </c>
      <c r="F24" s="17" t="s">
        <v>4</v>
      </c>
      <c r="G24" s="13" t="s">
        <v>11</v>
      </c>
      <c r="H24" t="s">
        <v>12</v>
      </c>
    </row>
    <row r="25" spans="2:8" x14ac:dyDescent="0.35">
      <c r="B25" s="46" t="s">
        <v>7</v>
      </c>
      <c r="C25" s="17" t="s">
        <v>23</v>
      </c>
      <c r="D25" s="17" t="s">
        <v>34</v>
      </c>
      <c r="E25" s="17" t="s">
        <v>14</v>
      </c>
      <c r="F25" s="17" t="s">
        <v>4</v>
      </c>
      <c r="G25" s="13" t="s">
        <v>11</v>
      </c>
      <c r="H25" t="s">
        <v>12</v>
      </c>
    </row>
    <row r="26" spans="2:8" x14ac:dyDescent="0.35">
      <c r="B26" s="46" t="s">
        <v>7</v>
      </c>
      <c r="C26" s="17" t="s">
        <v>37</v>
      </c>
      <c r="D26" s="17" t="s">
        <v>34</v>
      </c>
      <c r="E26" s="17" t="s">
        <v>38</v>
      </c>
      <c r="F26" s="56"/>
      <c r="G26" s="13" t="s">
        <v>11</v>
      </c>
      <c r="H26" t="s">
        <v>12</v>
      </c>
    </row>
    <row r="27" spans="2:8" x14ac:dyDescent="0.35">
      <c r="B27" s="46" t="s">
        <v>7</v>
      </c>
      <c r="C27" s="17" t="s">
        <v>39</v>
      </c>
      <c r="D27" s="17" t="s">
        <v>34</v>
      </c>
      <c r="E27" s="17" t="s">
        <v>25</v>
      </c>
      <c r="F27" s="56"/>
      <c r="G27" s="13" t="s">
        <v>11</v>
      </c>
      <c r="H27" t="s">
        <v>12</v>
      </c>
    </row>
    <row r="28" spans="2:8" x14ac:dyDescent="0.35">
      <c r="B28" s="46" t="s">
        <v>7</v>
      </c>
      <c r="C28" s="17" t="s">
        <v>40</v>
      </c>
      <c r="D28" s="17" t="s">
        <v>34</v>
      </c>
      <c r="E28" s="17" t="s">
        <v>38</v>
      </c>
      <c r="F28" s="56"/>
      <c r="G28" s="13" t="s">
        <v>11</v>
      </c>
      <c r="H28" t="s">
        <v>12</v>
      </c>
    </row>
    <row r="29" spans="2:8" x14ac:dyDescent="0.35">
      <c r="B29" s="46" t="s">
        <v>7</v>
      </c>
      <c r="C29" s="17" t="s">
        <v>41</v>
      </c>
      <c r="D29" s="17" t="s">
        <v>34</v>
      </c>
      <c r="E29" s="17" t="s">
        <v>38</v>
      </c>
      <c r="F29" s="56"/>
      <c r="G29" s="13" t="s">
        <v>11</v>
      </c>
      <c r="H29" t="s">
        <v>12</v>
      </c>
    </row>
    <row r="30" spans="2:8" hidden="1" x14ac:dyDescent="0.35">
      <c r="B30" s="46" t="s">
        <v>42</v>
      </c>
      <c r="C30" s="17" t="s">
        <v>43</v>
      </c>
      <c r="D30" s="17" t="s">
        <v>44</v>
      </c>
      <c r="E30" s="17" t="s">
        <v>45</v>
      </c>
      <c r="F30" s="17"/>
      <c r="G30" s="13" t="s">
        <v>46</v>
      </c>
      <c r="H30" t="s">
        <v>12</v>
      </c>
    </row>
    <row r="31" spans="2:8" hidden="1" x14ac:dyDescent="0.35">
      <c r="B31" s="46" t="s">
        <v>42</v>
      </c>
      <c r="C31" s="17" t="s">
        <v>47</v>
      </c>
      <c r="D31" s="17" t="s">
        <v>44</v>
      </c>
      <c r="E31" s="17" t="s">
        <v>45</v>
      </c>
      <c r="F31" s="17"/>
      <c r="G31" s="13" t="s">
        <v>48</v>
      </c>
      <c r="H31" t="s">
        <v>12</v>
      </c>
    </row>
    <row r="32" spans="2:8" hidden="1" x14ac:dyDescent="0.35">
      <c r="B32" s="46" t="s">
        <v>42</v>
      </c>
      <c r="C32" s="17" t="s">
        <v>49</v>
      </c>
      <c r="D32" s="17" t="s">
        <v>44</v>
      </c>
      <c r="E32" s="17" t="s">
        <v>45</v>
      </c>
      <c r="F32" s="17"/>
      <c r="G32" s="13" t="s">
        <v>50</v>
      </c>
      <c r="H32" t="s">
        <v>12</v>
      </c>
    </row>
    <row r="33" spans="2:8" hidden="1" x14ac:dyDescent="0.35">
      <c r="B33" s="46" t="s">
        <v>42</v>
      </c>
      <c r="C33" s="17" t="s">
        <v>51</v>
      </c>
      <c r="D33" s="17" t="s">
        <v>44</v>
      </c>
      <c r="E33" s="17" t="s">
        <v>45</v>
      </c>
      <c r="F33" s="57"/>
      <c r="G33" s="13" t="s">
        <v>52</v>
      </c>
      <c r="H33" t="s">
        <v>12</v>
      </c>
    </row>
    <row r="34" spans="2:8" hidden="1" x14ac:dyDescent="0.35">
      <c r="B34" s="46" t="s">
        <v>42</v>
      </c>
      <c r="C34" s="17" t="s">
        <v>53</v>
      </c>
      <c r="D34" s="17" t="s">
        <v>44</v>
      </c>
      <c r="E34" s="17" t="s">
        <v>45</v>
      </c>
      <c r="F34" s="17"/>
      <c r="G34" s="13" t="s">
        <v>54</v>
      </c>
      <c r="H34" t="s">
        <v>12</v>
      </c>
    </row>
    <row r="35" spans="2:8" hidden="1" x14ac:dyDescent="0.35">
      <c r="B35" s="46" t="s">
        <v>42</v>
      </c>
      <c r="C35" s="17" t="s">
        <v>55</v>
      </c>
      <c r="D35" s="17" t="s">
        <v>44</v>
      </c>
      <c r="E35" s="17" t="s">
        <v>45</v>
      </c>
      <c r="F35" s="17"/>
      <c r="G35" s="13" t="s">
        <v>56</v>
      </c>
      <c r="H35" t="s">
        <v>12</v>
      </c>
    </row>
    <row r="36" spans="2:8" hidden="1" x14ac:dyDescent="0.35">
      <c r="B36" s="46" t="s">
        <v>42</v>
      </c>
      <c r="C36" s="17" t="s">
        <v>57</v>
      </c>
      <c r="D36" s="17" t="s">
        <v>44</v>
      </c>
      <c r="E36" s="17" t="s">
        <v>45</v>
      </c>
      <c r="F36" s="17"/>
      <c r="G36" s="13" t="s">
        <v>58</v>
      </c>
      <c r="H36" t="s">
        <v>12</v>
      </c>
    </row>
    <row r="37" spans="2:8" hidden="1" x14ac:dyDescent="0.35">
      <c r="B37" s="46" t="s">
        <v>42</v>
      </c>
      <c r="C37" s="17" t="s">
        <v>59</v>
      </c>
      <c r="D37" s="17" t="s">
        <v>44</v>
      </c>
      <c r="E37" s="17" t="s">
        <v>45</v>
      </c>
      <c r="F37" s="17"/>
      <c r="G37" s="13" t="s">
        <v>60</v>
      </c>
      <c r="H37" t="s">
        <v>12</v>
      </c>
    </row>
    <row r="38" spans="2:8" hidden="1" x14ac:dyDescent="0.35">
      <c r="B38" s="46" t="s">
        <v>42</v>
      </c>
      <c r="C38" s="17" t="s">
        <v>61</v>
      </c>
      <c r="D38" s="17" t="s">
        <v>44</v>
      </c>
      <c r="E38" s="17" t="s">
        <v>45</v>
      </c>
      <c r="F38" s="17"/>
      <c r="G38" s="13" t="s">
        <v>62</v>
      </c>
      <c r="H38" t="s">
        <v>12</v>
      </c>
    </row>
    <row r="39" spans="2:8" hidden="1" x14ac:dyDescent="0.35">
      <c r="B39" s="46" t="s">
        <v>7</v>
      </c>
      <c r="C39" s="22" t="s">
        <v>63</v>
      </c>
      <c r="D39" s="22" t="s">
        <v>64</v>
      </c>
      <c r="E39" s="58" t="s">
        <v>65</v>
      </c>
      <c r="F39" s="19"/>
      <c r="G39" s="13" t="s">
        <v>11</v>
      </c>
      <c r="H39" t="s">
        <v>12</v>
      </c>
    </row>
    <row r="40" spans="2:8" hidden="1" x14ac:dyDescent="0.35">
      <c r="B40" s="46" t="s">
        <v>7</v>
      </c>
      <c r="C40" s="22" t="s">
        <v>66</v>
      </c>
      <c r="D40" s="22" t="s">
        <v>64</v>
      </c>
      <c r="E40" s="58" t="s">
        <v>65</v>
      </c>
      <c r="F40" s="19"/>
      <c r="G40" s="13" t="s">
        <v>11</v>
      </c>
      <c r="H40" t="s">
        <v>12</v>
      </c>
    </row>
    <row r="41" spans="2:8" hidden="1" x14ac:dyDescent="0.35">
      <c r="B41" s="46" t="s">
        <v>7</v>
      </c>
      <c r="C41" s="22" t="s">
        <v>67</v>
      </c>
      <c r="D41" s="22" t="s">
        <v>64</v>
      </c>
      <c r="E41" s="58" t="s">
        <v>68</v>
      </c>
      <c r="F41" s="19"/>
      <c r="G41" s="13" t="s">
        <v>11</v>
      </c>
      <c r="H41" t="s">
        <v>12</v>
      </c>
    </row>
    <row r="42" spans="2:8" hidden="1" x14ac:dyDescent="0.35">
      <c r="B42" s="46" t="s">
        <v>7</v>
      </c>
      <c r="C42" s="22" t="s">
        <v>69</v>
      </c>
      <c r="D42" s="22" t="s">
        <v>64</v>
      </c>
      <c r="E42" s="58" t="s">
        <v>70</v>
      </c>
      <c r="F42" s="19"/>
      <c r="G42" s="13" t="s">
        <v>11</v>
      </c>
      <c r="H42" t="s">
        <v>12</v>
      </c>
    </row>
    <row r="43" spans="2:8" hidden="1" x14ac:dyDescent="0.35">
      <c r="B43" s="46" t="s">
        <v>7</v>
      </c>
      <c r="C43" s="22" t="s">
        <v>71</v>
      </c>
      <c r="D43" s="22" t="s">
        <v>72</v>
      </c>
      <c r="E43" s="58" t="s">
        <v>70</v>
      </c>
      <c r="F43" s="19"/>
      <c r="G43" s="13" t="s">
        <v>11</v>
      </c>
      <c r="H43" t="s">
        <v>12</v>
      </c>
    </row>
    <row r="44" spans="2:8" hidden="1" x14ac:dyDescent="0.35">
      <c r="B44" s="46" t="s">
        <v>7</v>
      </c>
      <c r="C44" s="22" t="s">
        <v>73</v>
      </c>
      <c r="D44" s="22" t="s">
        <v>72</v>
      </c>
      <c r="E44" s="58" t="s">
        <v>65</v>
      </c>
      <c r="F44" s="19"/>
      <c r="G44" s="13" t="s">
        <v>11</v>
      </c>
      <c r="H44" t="s">
        <v>12</v>
      </c>
    </row>
    <row r="45" spans="2:8" hidden="1" x14ac:dyDescent="0.35">
      <c r="B45" s="46" t="s">
        <v>7</v>
      </c>
      <c r="C45" s="22" t="s">
        <v>74</v>
      </c>
      <c r="D45" s="22" t="s">
        <v>72</v>
      </c>
      <c r="E45" s="58" t="s">
        <v>65</v>
      </c>
      <c r="F45" s="17"/>
      <c r="G45" s="13" t="s">
        <v>11</v>
      </c>
      <c r="H45" t="s">
        <v>12</v>
      </c>
    </row>
    <row r="46" spans="2:8" hidden="1" x14ac:dyDescent="0.35">
      <c r="B46" s="46" t="s">
        <v>7</v>
      </c>
      <c r="C46" s="17" t="s">
        <v>75</v>
      </c>
      <c r="D46" s="17" t="s">
        <v>76</v>
      </c>
      <c r="E46" s="17" t="s">
        <v>70</v>
      </c>
      <c r="F46" s="17"/>
      <c r="G46" s="13" t="s">
        <v>11</v>
      </c>
      <c r="H46" t="s">
        <v>12</v>
      </c>
    </row>
    <row r="47" spans="2:8" hidden="1" x14ac:dyDescent="0.35">
      <c r="B47" s="59" t="s">
        <v>77</v>
      </c>
      <c r="C47" s="60" t="s">
        <v>78</v>
      </c>
      <c r="D47" s="61" t="s">
        <v>44</v>
      </c>
      <c r="E47" s="17"/>
      <c r="F47" s="17"/>
      <c r="G47" s="13"/>
      <c r="H47" t="s">
        <v>12</v>
      </c>
    </row>
    <row r="48" spans="2:8" hidden="1" x14ac:dyDescent="0.35">
      <c r="B48" s="59" t="s">
        <v>77</v>
      </c>
      <c r="C48" s="62" t="s">
        <v>79</v>
      </c>
      <c r="D48" s="63" t="s">
        <v>44</v>
      </c>
      <c r="E48" s="17"/>
      <c r="F48" s="17"/>
      <c r="G48" s="13"/>
      <c r="H48" t="s">
        <v>12</v>
      </c>
    </row>
    <row r="49" spans="2:8" hidden="1" x14ac:dyDescent="0.35">
      <c r="B49" s="59" t="s">
        <v>77</v>
      </c>
      <c r="C49" s="62" t="s">
        <v>80</v>
      </c>
      <c r="D49" s="63" t="s">
        <v>44</v>
      </c>
      <c r="E49" s="17"/>
      <c r="F49" s="17"/>
      <c r="G49" s="13"/>
      <c r="H49" t="s">
        <v>12</v>
      </c>
    </row>
    <row r="50" spans="2:8" hidden="1" x14ac:dyDescent="0.35">
      <c r="B50" s="59" t="s">
        <v>77</v>
      </c>
      <c r="C50" s="62" t="s">
        <v>81</v>
      </c>
      <c r="D50" s="63" t="s">
        <v>72</v>
      </c>
      <c r="E50" s="17"/>
      <c r="F50" s="17"/>
      <c r="G50" s="13"/>
      <c r="H50" t="s">
        <v>12</v>
      </c>
    </row>
    <row r="51" spans="2:8" hidden="1" x14ac:dyDescent="0.35">
      <c r="B51" s="59" t="s">
        <v>77</v>
      </c>
      <c r="C51" s="62" t="s">
        <v>82</v>
      </c>
      <c r="D51" s="63" t="s">
        <v>72</v>
      </c>
      <c r="E51" s="17"/>
      <c r="F51" s="17"/>
      <c r="G51" s="13"/>
      <c r="H51" t="s">
        <v>12</v>
      </c>
    </row>
    <row r="52" spans="2:8" hidden="1" x14ac:dyDescent="0.35">
      <c r="B52" s="59" t="s">
        <v>77</v>
      </c>
      <c r="C52" s="62" t="s">
        <v>83</v>
      </c>
      <c r="D52" s="63" t="s">
        <v>72</v>
      </c>
      <c r="E52" s="17"/>
      <c r="F52" s="17"/>
      <c r="G52" s="13"/>
      <c r="H52" t="s">
        <v>12</v>
      </c>
    </row>
    <row r="53" spans="2:8" hidden="1" x14ac:dyDescent="0.35">
      <c r="B53" s="59" t="s">
        <v>77</v>
      </c>
      <c r="C53" s="62" t="s">
        <v>84</v>
      </c>
      <c r="D53" s="63" t="s">
        <v>72</v>
      </c>
      <c r="E53" s="17"/>
      <c r="F53" s="17"/>
      <c r="G53" s="13"/>
      <c r="H53" t="s">
        <v>12</v>
      </c>
    </row>
    <row r="54" spans="2:8" hidden="1" x14ac:dyDescent="0.35">
      <c r="B54" s="59" t="s">
        <v>77</v>
      </c>
      <c r="C54" s="62" t="s">
        <v>85</v>
      </c>
      <c r="D54" s="63" t="s">
        <v>72</v>
      </c>
      <c r="E54" s="17"/>
      <c r="F54" s="17"/>
      <c r="G54" s="13"/>
      <c r="H54" t="s">
        <v>12</v>
      </c>
    </row>
    <row r="55" spans="2:8" hidden="1" x14ac:dyDescent="0.35">
      <c r="B55" s="59" t="s">
        <v>77</v>
      </c>
      <c r="C55" s="62" t="s">
        <v>86</v>
      </c>
      <c r="D55" s="63" t="s">
        <v>72</v>
      </c>
      <c r="E55" s="17"/>
      <c r="F55" s="17"/>
      <c r="G55" s="13"/>
      <c r="H55" t="s">
        <v>12</v>
      </c>
    </row>
    <row r="56" spans="2:8" hidden="1" x14ac:dyDescent="0.35">
      <c r="B56" s="59" t="s">
        <v>77</v>
      </c>
      <c r="C56" s="62" t="s">
        <v>87</v>
      </c>
      <c r="D56" s="63" t="s">
        <v>72</v>
      </c>
      <c r="E56" s="17"/>
      <c r="F56" s="17"/>
      <c r="G56" s="13"/>
      <c r="H56" t="s">
        <v>12</v>
      </c>
    </row>
    <row r="57" spans="2:8" hidden="1" x14ac:dyDescent="0.35">
      <c r="B57" s="59" t="s">
        <v>77</v>
      </c>
      <c r="C57" s="62" t="s">
        <v>88</v>
      </c>
      <c r="D57" s="63" t="s">
        <v>72</v>
      </c>
      <c r="E57" s="17"/>
      <c r="F57" s="17"/>
      <c r="G57" s="13"/>
      <c r="H57" t="s">
        <v>12</v>
      </c>
    </row>
    <row r="58" spans="2:8" hidden="1" x14ac:dyDescent="0.35">
      <c r="B58" s="14" t="s">
        <v>42</v>
      </c>
      <c r="C58" s="21" t="s">
        <v>89</v>
      </c>
      <c r="D58" s="21" t="s">
        <v>44</v>
      </c>
      <c r="E58" s="21" t="s">
        <v>68</v>
      </c>
      <c r="F58" s="17"/>
      <c r="G58" s="13" t="s">
        <v>90</v>
      </c>
      <c r="H58" t="s">
        <v>91</v>
      </c>
    </row>
    <row r="59" spans="2:8" hidden="1" x14ac:dyDescent="0.35">
      <c r="B59" s="14" t="s">
        <v>42</v>
      </c>
      <c r="C59" s="16" t="s">
        <v>92</v>
      </c>
      <c r="D59" s="17" t="s">
        <v>93</v>
      </c>
      <c r="E59" s="17" t="s">
        <v>68</v>
      </c>
      <c r="F59" s="17"/>
      <c r="G59" s="13" t="s">
        <v>90</v>
      </c>
      <c r="H59" t="s">
        <v>91</v>
      </c>
    </row>
    <row r="60" spans="2:8" hidden="1" x14ac:dyDescent="0.35">
      <c r="B60" s="14" t="s">
        <v>42</v>
      </c>
      <c r="C60" s="21" t="s">
        <v>94</v>
      </c>
      <c r="D60" s="21" t="s">
        <v>64</v>
      </c>
      <c r="E60" s="21" t="s">
        <v>68</v>
      </c>
      <c r="F60" s="17"/>
      <c r="G60" s="13" t="s">
        <v>90</v>
      </c>
      <c r="H60" t="s">
        <v>91</v>
      </c>
    </row>
    <row r="61" spans="2:8" hidden="1" x14ac:dyDescent="0.35">
      <c r="B61" s="14" t="s">
        <v>42</v>
      </c>
      <c r="C61" s="21" t="s">
        <v>95</v>
      </c>
      <c r="D61" s="21" t="s">
        <v>72</v>
      </c>
      <c r="E61" s="21" t="s">
        <v>68</v>
      </c>
      <c r="F61" s="19"/>
      <c r="G61" s="13" t="s">
        <v>90</v>
      </c>
      <c r="H61" t="s">
        <v>91</v>
      </c>
    </row>
    <row r="62" spans="2:8" hidden="1" x14ac:dyDescent="0.35">
      <c r="B62" s="14" t="s">
        <v>42</v>
      </c>
      <c r="C62" s="16" t="s">
        <v>49</v>
      </c>
      <c r="D62" s="17" t="s">
        <v>44</v>
      </c>
      <c r="E62" s="17" t="s">
        <v>45</v>
      </c>
      <c r="F62" s="17"/>
      <c r="G62" s="13" t="s">
        <v>50</v>
      </c>
      <c r="H62" t="s">
        <v>91</v>
      </c>
    </row>
    <row r="63" spans="2:8" hidden="1" x14ac:dyDescent="0.35">
      <c r="B63" s="14" t="s">
        <v>42</v>
      </c>
      <c r="C63" s="16" t="s">
        <v>55</v>
      </c>
      <c r="D63" s="17" t="s">
        <v>44</v>
      </c>
      <c r="E63" s="17" t="s">
        <v>45</v>
      </c>
      <c r="F63" s="19"/>
      <c r="G63" s="13" t="s">
        <v>56</v>
      </c>
      <c r="H63" t="s">
        <v>91</v>
      </c>
    </row>
    <row r="64" spans="2:8" hidden="1" x14ac:dyDescent="0.35">
      <c r="B64" s="14" t="s">
        <v>42</v>
      </c>
      <c r="C64" s="16" t="s">
        <v>61</v>
      </c>
      <c r="D64" s="17" t="s">
        <v>44</v>
      </c>
      <c r="E64" s="17" t="s">
        <v>45</v>
      </c>
      <c r="F64" s="17"/>
      <c r="G64" s="13" t="s">
        <v>62</v>
      </c>
      <c r="H64" t="s">
        <v>91</v>
      </c>
    </row>
    <row r="65" spans="2:8" hidden="1" x14ac:dyDescent="0.35">
      <c r="B65" s="46" t="s">
        <v>7</v>
      </c>
      <c r="C65" s="64" t="s">
        <v>67</v>
      </c>
      <c r="D65" s="22" t="s">
        <v>64</v>
      </c>
      <c r="E65" s="58" t="s">
        <v>68</v>
      </c>
      <c r="F65" s="17"/>
      <c r="G65" s="13" t="s">
        <v>11</v>
      </c>
      <c r="H65" t="s">
        <v>91</v>
      </c>
    </row>
    <row r="66" spans="2:8" hidden="1" x14ac:dyDescent="0.35">
      <c r="B66" s="46" t="s">
        <v>7</v>
      </c>
      <c r="C66" s="64" t="s">
        <v>96</v>
      </c>
      <c r="D66" s="22" t="s">
        <v>72</v>
      </c>
      <c r="E66" s="58" t="s">
        <v>10</v>
      </c>
      <c r="F66" s="17"/>
      <c r="G66" s="13" t="s">
        <v>11</v>
      </c>
      <c r="H66" t="s">
        <v>91</v>
      </c>
    </row>
    <row r="67" spans="2:8" hidden="1" x14ac:dyDescent="0.35">
      <c r="B67" s="59" t="s">
        <v>77</v>
      </c>
      <c r="C67" s="60" t="s">
        <v>97</v>
      </c>
      <c r="D67" s="61" t="s">
        <v>44</v>
      </c>
      <c r="E67" s="58"/>
      <c r="F67" s="17"/>
      <c r="G67" s="13"/>
      <c r="H67" t="s">
        <v>91</v>
      </c>
    </row>
    <row r="68" spans="2:8" hidden="1" x14ac:dyDescent="0.35">
      <c r="B68" s="59" t="s">
        <v>77</v>
      </c>
      <c r="C68" s="62" t="s">
        <v>98</v>
      </c>
      <c r="D68" s="63" t="s">
        <v>44</v>
      </c>
      <c r="E68" s="58"/>
      <c r="F68" s="17"/>
      <c r="G68" s="13"/>
      <c r="H68" t="s">
        <v>91</v>
      </c>
    </row>
    <row r="69" spans="2:8" hidden="1" x14ac:dyDescent="0.35">
      <c r="B69" s="59" t="s">
        <v>77</v>
      </c>
      <c r="C69" s="60" t="s">
        <v>99</v>
      </c>
      <c r="D69" s="61" t="s">
        <v>44</v>
      </c>
      <c r="E69" s="58"/>
      <c r="F69" s="17"/>
      <c r="G69" s="13"/>
      <c r="H69" t="s">
        <v>91</v>
      </c>
    </row>
    <row r="70" spans="2:8" hidden="1" x14ac:dyDescent="0.35">
      <c r="B70" s="59" t="s">
        <v>77</v>
      </c>
      <c r="C70" s="62" t="s">
        <v>100</v>
      </c>
      <c r="D70" s="63" t="s">
        <v>44</v>
      </c>
      <c r="E70" s="58"/>
      <c r="F70" s="17"/>
      <c r="G70" s="13"/>
      <c r="H70" t="s">
        <v>91</v>
      </c>
    </row>
    <row r="71" spans="2:8" hidden="1" x14ac:dyDescent="0.35">
      <c r="B71" s="59" t="s">
        <v>77</v>
      </c>
      <c r="C71" s="60" t="s">
        <v>101</v>
      </c>
      <c r="D71" s="61" t="s">
        <v>44</v>
      </c>
      <c r="E71" s="58"/>
      <c r="F71" s="17"/>
      <c r="G71" s="13"/>
      <c r="H71" t="s">
        <v>91</v>
      </c>
    </row>
    <row r="72" spans="2:8" hidden="1" x14ac:dyDescent="0.35">
      <c r="B72" s="59" t="s">
        <v>77</v>
      </c>
      <c r="C72" s="62" t="s">
        <v>102</v>
      </c>
      <c r="D72" s="63" t="s">
        <v>44</v>
      </c>
      <c r="E72" s="58"/>
      <c r="F72" s="17"/>
      <c r="G72" s="13"/>
      <c r="H72" t="s">
        <v>91</v>
      </c>
    </row>
    <row r="73" spans="2:8" hidden="1" x14ac:dyDescent="0.35">
      <c r="B73" s="59" t="s">
        <v>77</v>
      </c>
      <c r="C73" s="60" t="s">
        <v>78</v>
      </c>
      <c r="D73" s="61" t="s">
        <v>44</v>
      </c>
      <c r="E73" s="17"/>
      <c r="F73" s="17"/>
      <c r="G73" s="13"/>
      <c r="H73" t="s">
        <v>91</v>
      </c>
    </row>
    <row r="74" spans="2:8" hidden="1" x14ac:dyDescent="0.35">
      <c r="B74" s="59" t="s">
        <v>77</v>
      </c>
      <c r="C74" s="62" t="s">
        <v>79</v>
      </c>
      <c r="D74" s="63" t="s">
        <v>44</v>
      </c>
      <c r="E74" s="17"/>
      <c r="F74" s="17"/>
      <c r="G74" s="13"/>
      <c r="H74" t="s">
        <v>91</v>
      </c>
    </row>
    <row r="75" spans="2:8" hidden="1" x14ac:dyDescent="0.35">
      <c r="B75" s="59" t="s">
        <v>77</v>
      </c>
      <c r="C75" s="62" t="s">
        <v>80</v>
      </c>
      <c r="D75" s="63" t="s">
        <v>44</v>
      </c>
      <c r="E75" s="17"/>
      <c r="F75" s="17"/>
      <c r="G75" s="13"/>
      <c r="H75" t="s">
        <v>91</v>
      </c>
    </row>
    <row r="76" spans="2:8" hidden="1" x14ac:dyDescent="0.35">
      <c r="B76" s="59" t="s">
        <v>77</v>
      </c>
      <c r="C76" s="62" t="s">
        <v>81</v>
      </c>
      <c r="D76" s="63" t="s">
        <v>72</v>
      </c>
      <c r="E76" s="17"/>
      <c r="F76" s="19"/>
      <c r="G76" s="13"/>
      <c r="H76" t="s">
        <v>91</v>
      </c>
    </row>
    <row r="77" spans="2:8" hidden="1" x14ac:dyDescent="0.35">
      <c r="B77" s="59" t="s">
        <v>77</v>
      </c>
      <c r="C77" s="62" t="s">
        <v>82</v>
      </c>
      <c r="D77" s="63" t="s">
        <v>72</v>
      </c>
      <c r="E77" s="17"/>
      <c r="F77" s="19"/>
      <c r="G77" s="13"/>
      <c r="H77" t="s">
        <v>91</v>
      </c>
    </row>
    <row r="78" spans="2:8" hidden="1" x14ac:dyDescent="0.35">
      <c r="B78" s="59" t="s">
        <v>77</v>
      </c>
      <c r="C78" s="62" t="s">
        <v>83</v>
      </c>
      <c r="D78" s="63" t="s">
        <v>72</v>
      </c>
      <c r="E78" s="17"/>
      <c r="F78" s="19"/>
      <c r="G78" s="13"/>
      <c r="H78" t="s">
        <v>91</v>
      </c>
    </row>
    <row r="79" spans="2:8" hidden="1" x14ac:dyDescent="0.35">
      <c r="B79" s="59" t="s">
        <v>77</v>
      </c>
      <c r="C79" s="62" t="s">
        <v>84</v>
      </c>
      <c r="D79" s="63" t="s">
        <v>72</v>
      </c>
      <c r="E79" s="11"/>
      <c r="F79" s="11"/>
      <c r="G79" s="13"/>
      <c r="H79" t="s">
        <v>91</v>
      </c>
    </row>
    <row r="80" spans="2:8" hidden="1" x14ac:dyDescent="0.35">
      <c r="B80" s="59" t="s">
        <v>77</v>
      </c>
      <c r="C80" s="62" t="s">
        <v>85</v>
      </c>
      <c r="D80" s="63" t="s">
        <v>72</v>
      </c>
      <c r="E80" s="17"/>
      <c r="F80" s="11"/>
      <c r="G80" s="13"/>
      <c r="H80" t="s">
        <v>91</v>
      </c>
    </row>
    <row r="81" spans="2:8" hidden="1" x14ac:dyDescent="0.35">
      <c r="B81" s="59" t="s">
        <v>77</v>
      </c>
      <c r="C81" s="62" t="s">
        <v>86</v>
      </c>
      <c r="D81" s="63" t="s">
        <v>72</v>
      </c>
      <c r="E81" s="11"/>
      <c r="F81" s="11"/>
      <c r="G81" s="13"/>
      <c r="H81" t="s">
        <v>91</v>
      </c>
    </row>
    <row r="82" spans="2:8" hidden="1" x14ac:dyDescent="0.35">
      <c r="B82" s="59" t="s">
        <v>77</v>
      </c>
      <c r="C82" s="62" t="s">
        <v>87</v>
      </c>
      <c r="D82" s="63" t="s">
        <v>72</v>
      </c>
      <c r="E82" s="20"/>
      <c r="F82" s="11"/>
      <c r="G82" s="13"/>
      <c r="H82" t="s">
        <v>91</v>
      </c>
    </row>
    <row r="83" spans="2:8" hidden="1" x14ac:dyDescent="0.35">
      <c r="B83" s="59" t="s">
        <v>77</v>
      </c>
      <c r="C83" s="62" t="s">
        <v>88</v>
      </c>
      <c r="D83" s="63" t="s">
        <v>72</v>
      </c>
      <c r="E83" s="11"/>
      <c r="F83" s="11"/>
      <c r="G83" s="13"/>
      <c r="H83" t="s">
        <v>91</v>
      </c>
    </row>
  </sheetData>
  <autoFilter ref="B1:H83" xr:uid="{35F2AF77-3E76-421A-827C-C4277413D311}">
    <filterColumn colId="2">
      <filters>
        <filter val="Exposure_Product_IFRS"/>
        <filter val="Exposure_Product_Marginal_IFRS"/>
      </filters>
    </filterColumn>
    <filterColumn colId="6">
      <filters>
        <filter val="In Input"/>
      </filters>
    </filterColumn>
  </autoFilter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B28A-77A4-4235-B0C8-A256B3C0475C}">
  <dimension ref="A1:L245"/>
  <sheetViews>
    <sheetView workbookViewId="0">
      <pane ySplit="2" topLeftCell="A168" activePane="bottomLeft" state="frozen"/>
      <selection pane="bottomLeft" activeCell="E174" sqref="E174"/>
    </sheetView>
  </sheetViews>
  <sheetFormatPr defaultRowHeight="14.5" x14ac:dyDescent="0.35"/>
  <cols>
    <col min="1" max="1" width="5.26953125" customWidth="1"/>
    <col min="2" max="2" width="12.1796875" customWidth="1"/>
    <col min="3" max="3" width="7" customWidth="1"/>
    <col min="4" max="4" width="40.26953125" bestFit="1" customWidth="1"/>
    <col min="5" max="5" width="31.1796875" bestFit="1" customWidth="1"/>
    <col min="6" max="6" width="14.453125" bestFit="1" customWidth="1"/>
    <col min="7" max="7" width="5.81640625" bestFit="1" customWidth="1"/>
    <col min="8" max="8" width="46.26953125" customWidth="1"/>
    <col min="9" max="9" width="28.54296875" bestFit="1" customWidth="1"/>
    <col min="10" max="10" width="16.453125" bestFit="1" customWidth="1"/>
    <col min="11" max="11" width="34.1796875" bestFit="1" customWidth="1"/>
    <col min="12" max="12" width="44" bestFit="1" customWidth="1"/>
  </cols>
  <sheetData>
    <row r="1" spans="1:12" x14ac:dyDescent="0.35">
      <c r="A1" s="2"/>
      <c r="B1" s="2"/>
      <c r="C1" s="3"/>
      <c r="D1" s="2"/>
      <c r="E1" s="2"/>
      <c r="F1" s="2"/>
      <c r="G1" s="2"/>
      <c r="H1" s="2"/>
      <c r="I1" s="4" t="s">
        <v>103</v>
      </c>
      <c r="J1" s="5"/>
      <c r="K1" s="5"/>
      <c r="L1" s="5"/>
    </row>
    <row r="2" spans="1:12" ht="43.5" x14ac:dyDescent="0.35">
      <c r="A2" s="6"/>
      <c r="B2" s="7" t="s">
        <v>104</v>
      </c>
      <c r="C2" s="9" t="s">
        <v>105</v>
      </c>
      <c r="D2" s="9" t="s">
        <v>1</v>
      </c>
      <c r="E2" s="9" t="s">
        <v>2</v>
      </c>
      <c r="F2" s="9" t="s">
        <v>3</v>
      </c>
      <c r="G2" s="9" t="s">
        <v>106</v>
      </c>
      <c r="H2" s="9" t="s">
        <v>107</v>
      </c>
      <c r="I2" s="66" t="s">
        <v>108</v>
      </c>
      <c r="J2" s="67" t="s">
        <v>109</v>
      </c>
      <c r="K2" s="67" t="s">
        <v>110</v>
      </c>
      <c r="L2" s="66" t="s">
        <v>111</v>
      </c>
    </row>
    <row r="3" spans="1:12" x14ac:dyDescent="0.35">
      <c r="A3" s="25"/>
      <c r="B3" s="68" t="str">
        <f t="shared" ref="B3:B66" si="0">CONCATENATE(D3,E3)</f>
        <v>OBLGOR_NOObligor</v>
      </c>
      <c r="C3" s="46">
        <v>0.1</v>
      </c>
      <c r="D3" s="22" t="s">
        <v>112</v>
      </c>
      <c r="E3" s="22" t="s">
        <v>44</v>
      </c>
      <c r="F3" s="22" t="s">
        <v>10</v>
      </c>
      <c r="G3" s="22" t="s">
        <v>4</v>
      </c>
      <c r="H3" s="17" t="s">
        <v>113</v>
      </c>
      <c r="I3" s="46" t="s">
        <v>114</v>
      </c>
      <c r="J3" s="46" t="s">
        <v>115</v>
      </c>
      <c r="K3" s="46" t="s">
        <v>115</v>
      </c>
      <c r="L3" s="46" t="s">
        <v>116</v>
      </c>
    </row>
    <row r="4" spans="1:12" x14ac:dyDescent="0.35">
      <c r="A4" s="25"/>
      <c r="B4" s="68" t="str">
        <f t="shared" si="0"/>
        <v>OBLGOR_SSM_CODEObligor</v>
      </c>
      <c r="C4" s="46">
        <v>0.1</v>
      </c>
      <c r="D4" s="22" t="s">
        <v>117</v>
      </c>
      <c r="E4" s="22" t="s">
        <v>44</v>
      </c>
      <c r="F4" s="22" t="s">
        <v>14</v>
      </c>
      <c r="G4" s="22" t="s">
        <v>4</v>
      </c>
      <c r="H4" s="17" t="s">
        <v>118</v>
      </c>
      <c r="I4" s="46" t="s">
        <v>114</v>
      </c>
      <c r="J4" s="46" t="s">
        <v>115</v>
      </c>
      <c r="K4" s="46" t="s">
        <v>115</v>
      </c>
      <c r="L4" s="46" t="s">
        <v>116</v>
      </c>
    </row>
    <row r="5" spans="1:12" x14ac:dyDescent="0.35">
      <c r="A5" s="25"/>
      <c r="B5" s="68" t="str">
        <f t="shared" si="0"/>
        <v>OBG_CTY_OF_RSK_CODEObligor</v>
      </c>
      <c r="C5" s="46">
        <v>0.1</v>
      </c>
      <c r="D5" s="22" t="s">
        <v>119</v>
      </c>
      <c r="E5" s="22" t="s">
        <v>44</v>
      </c>
      <c r="F5" s="22" t="s">
        <v>68</v>
      </c>
      <c r="G5" s="56"/>
      <c r="H5" s="17" t="s">
        <v>120</v>
      </c>
      <c r="I5" s="46" t="s">
        <v>114</v>
      </c>
      <c r="J5" s="46" t="s">
        <v>115</v>
      </c>
      <c r="K5" s="46" t="s">
        <v>115</v>
      </c>
      <c r="L5" s="46" t="s">
        <v>114</v>
      </c>
    </row>
    <row r="6" spans="1:12" x14ac:dyDescent="0.35">
      <c r="A6" s="25"/>
      <c r="B6" s="68" t="str">
        <f t="shared" si="0"/>
        <v>OBG_BUS_REF_DTSObligor</v>
      </c>
      <c r="C6" s="46">
        <v>0.1</v>
      </c>
      <c r="D6" s="23" t="s">
        <v>121</v>
      </c>
      <c r="E6" s="22" t="s">
        <v>44</v>
      </c>
      <c r="F6" s="22" t="s">
        <v>16</v>
      </c>
      <c r="G6" s="22" t="s">
        <v>4</v>
      </c>
      <c r="H6" s="17" t="s">
        <v>122</v>
      </c>
      <c r="I6" s="46" t="s">
        <v>114</v>
      </c>
      <c r="J6" s="46" t="s">
        <v>115</v>
      </c>
      <c r="K6" s="46" t="s">
        <v>115</v>
      </c>
      <c r="L6" s="46" t="s">
        <v>116</v>
      </c>
    </row>
    <row r="7" spans="1:12" x14ac:dyDescent="0.35">
      <c r="A7" s="25"/>
      <c r="B7" s="68" t="str">
        <f t="shared" si="0"/>
        <v>OBG_NAICS_CODEObligor</v>
      </c>
      <c r="C7" s="46">
        <v>0.1</v>
      </c>
      <c r="D7" s="23" t="s">
        <v>123</v>
      </c>
      <c r="E7" s="22" t="s">
        <v>44</v>
      </c>
      <c r="F7" s="22" t="s">
        <v>14</v>
      </c>
      <c r="G7" s="56"/>
      <c r="H7" s="17" t="s">
        <v>124</v>
      </c>
      <c r="I7" s="46" t="s">
        <v>114</v>
      </c>
      <c r="J7" s="46" t="s">
        <v>115</v>
      </c>
      <c r="K7" s="46" t="s">
        <v>115</v>
      </c>
      <c r="L7" s="46" t="s">
        <v>114</v>
      </c>
    </row>
    <row r="8" spans="1:12" x14ac:dyDescent="0.35">
      <c r="A8" s="25"/>
      <c r="B8" s="68" t="str">
        <f t="shared" si="0"/>
        <v>OBLGOR_LEAD_BU_CODEObligor</v>
      </c>
      <c r="C8" s="46">
        <v>0.1</v>
      </c>
      <c r="D8" s="22" t="s">
        <v>125</v>
      </c>
      <c r="E8" s="22" t="s">
        <v>44</v>
      </c>
      <c r="F8" s="22" t="s">
        <v>14</v>
      </c>
      <c r="G8" s="56"/>
      <c r="H8" s="17" t="s">
        <v>126</v>
      </c>
      <c r="I8" s="46" t="s">
        <v>114</v>
      </c>
      <c r="J8" s="46" t="s">
        <v>115</v>
      </c>
      <c r="K8" s="46" t="s">
        <v>115</v>
      </c>
      <c r="L8" s="46" t="s">
        <v>114</v>
      </c>
    </row>
    <row r="9" spans="1:12" x14ac:dyDescent="0.35">
      <c r="A9" s="25"/>
      <c r="B9" s="68" t="str">
        <f t="shared" si="0"/>
        <v>CNRL_CST_MSEG_CODEObligor</v>
      </c>
      <c r="C9" s="46">
        <v>0.1</v>
      </c>
      <c r="D9" s="23" t="s">
        <v>127</v>
      </c>
      <c r="E9" s="22" t="s">
        <v>44</v>
      </c>
      <c r="F9" s="22" t="s">
        <v>68</v>
      </c>
      <c r="G9" s="56"/>
      <c r="H9" s="17" t="s">
        <v>128</v>
      </c>
      <c r="I9" s="46" t="s">
        <v>114</v>
      </c>
      <c r="J9" s="46" t="s">
        <v>115</v>
      </c>
      <c r="K9" s="46" t="s">
        <v>115</v>
      </c>
      <c r="L9" s="46" t="s">
        <v>114</v>
      </c>
    </row>
    <row r="10" spans="1:12" x14ac:dyDescent="0.35">
      <c r="A10" s="25"/>
      <c r="B10" s="68" t="str">
        <f t="shared" si="0"/>
        <v>REL_ORG_CST_MSEG_CODEObligor</v>
      </c>
      <c r="C10" s="46">
        <v>0.1</v>
      </c>
      <c r="D10" s="23" t="s">
        <v>129</v>
      </c>
      <c r="E10" s="22" t="s">
        <v>44</v>
      </c>
      <c r="F10" s="22" t="s">
        <v>68</v>
      </c>
      <c r="G10" s="56"/>
      <c r="H10" s="17" t="s">
        <v>130</v>
      </c>
      <c r="I10" s="46" t="s">
        <v>114</v>
      </c>
      <c r="J10" s="46" t="s">
        <v>115</v>
      </c>
      <c r="K10" s="46" t="s">
        <v>115</v>
      </c>
      <c r="L10" s="46" t="s">
        <v>114</v>
      </c>
    </row>
    <row r="11" spans="1:12" x14ac:dyDescent="0.35">
      <c r="A11" s="25"/>
      <c r="B11" s="68" t="str">
        <f t="shared" si="0"/>
        <v>OBLGOR_NO_ORIGObligor</v>
      </c>
      <c r="C11" s="46">
        <v>0.1</v>
      </c>
      <c r="D11" s="22" t="s">
        <v>131</v>
      </c>
      <c r="E11" s="22" t="s">
        <v>44</v>
      </c>
      <c r="F11" s="22" t="s">
        <v>10</v>
      </c>
      <c r="G11" s="56"/>
      <c r="H11" s="17" t="s">
        <v>132</v>
      </c>
      <c r="I11" s="46" t="s">
        <v>133</v>
      </c>
      <c r="J11" s="46" t="s">
        <v>115</v>
      </c>
      <c r="K11" s="46" t="s">
        <v>115</v>
      </c>
      <c r="L11" s="46" t="s">
        <v>116</v>
      </c>
    </row>
    <row r="12" spans="1:12" x14ac:dyDescent="0.35">
      <c r="A12" s="25"/>
      <c r="B12" s="68" t="str">
        <f t="shared" si="0"/>
        <v>OBLGOR_SSM_CODE_ORIGObligor</v>
      </c>
      <c r="C12" s="46">
        <v>0.1</v>
      </c>
      <c r="D12" s="22" t="s">
        <v>134</v>
      </c>
      <c r="E12" s="22" t="s">
        <v>44</v>
      </c>
      <c r="F12" s="22" t="s">
        <v>14</v>
      </c>
      <c r="G12" s="56"/>
      <c r="H12" s="17" t="s">
        <v>132</v>
      </c>
      <c r="I12" s="46" t="s">
        <v>133</v>
      </c>
      <c r="J12" s="46" t="s">
        <v>115</v>
      </c>
      <c r="K12" s="46" t="s">
        <v>115</v>
      </c>
      <c r="L12" s="46" t="s">
        <v>116</v>
      </c>
    </row>
    <row r="13" spans="1:12" x14ac:dyDescent="0.35">
      <c r="A13" s="25"/>
      <c r="B13" s="68" t="str">
        <f t="shared" si="0"/>
        <v>OBG_BUS_REF_DTS_ORIGObligor</v>
      </c>
      <c r="C13" s="46">
        <v>0.1</v>
      </c>
      <c r="D13" s="22" t="s">
        <v>135</v>
      </c>
      <c r="E13" s="22" t="s">
        <v>44</v>
      </c>
      <c r="F13" s="22" t="s">
        <v>16</v>
      </c>
      <c r="G13" s="56"/>
      <c r="H13" s="17" t="s">
        <v>132</v>
      </c>
      <c r="I13" s="46" t="s">
        <v>133</v>
      </c>
      <c r="J13" s="46" t="s">
        <v>115</v>
      </c>
      <c r="K13" s="46" t="s">
        <v>115</v>
      </c>
      <c r="L13" s="46" t="s">
        <v>116</v>
      </c>
    </row>
    <row r="14" spans="1:12" x14ac:dyDescent="0.35">
      <c r="A14" s="25"/>
      <c r="B14" s="68" t="str">
        <f t="shared" si="0"/>
        <v>OBG_NEW_INFL_FLGObligor</v>
      </c>
      <c r="C14" s="46">
        <v>0.1</v>
      </c>
      <c r="D14" s="22" t="s">
        <v>136</v>
      </c>
      <c r="E14" s="22" t="s">
        <v>44</v>
      </c>
      <c r="F14" s="22" t="s">
        <v>65</v>
      </c>
      <c r="G14" s="56"/>
      <c r="H14" s="17" t="s">
        <v>132</v>
      </c>
      <c r="I14" s="46" t="s">
        <v>133</v>
      </c>
      <c r="J14" s="46" t="s">
        <v>115</v>
      </c>
      <c r="K14" s="46" t="s">
        <v>115</v>
      </c>
      <c r="L14" s="46" t="s">
        <v>116</v>
      </c>
    </row>
    <row r="15" spans="1:12" x14ac:dyDescent="0.35">
      <c r="A15" s="25"/>
      <c r="B15" s="68" t="str">
        <f t="shared" si="0"/>
        <v>OBG_NEW_INFL_PERIODObligor</v>
      </c>
      <c r="C15" s="46">
        <v>0.1</v>
      </c>
      <c r="D15" s="22" t="s">
        <v>137</v>
      </c>
      <c r="E15" s="22" t="s">
        <v>44</v>
      </c>
      <c r="F15" s="22" t="s">
        <v>27</v>
      </c>
      <c r="G15" s="56"/>
      <c r="H15" s="17" t="s">
        <v>132</v>
      </c>
      <c r="I15" s="46" t="s">
        <v>133</v>
      </c>
      <c r="J15" s="46" t="s">
        <v>115</v>
      </c>
      <c r="K15" s="46" t="s">
        <v>115</v>
      </c>
      <c r="L15" s="46" t="s">
        <v>116</v>
      </c>
    </row>
    <row r="16" spans="1:12" x14ac:dyDescent="0.35">
      <c r="A16" s="25"/>
      <c r="B16" s="68" t="str">
        <f t="shared" si="0"/>
        <v>OBG_INCOR_CTY_CODEObligor</v>
      </c>
      <c r="C16" s="46">
        <v>0.1</v>
      </c>
      <c r="D16" s="23" t="s">
        <v>138</v>
      </c>
      <c r="E16" s="57" t="s">
        <v>44</v>
      </c>
      <c r="F16" s="57" t="s">
        <v>68</v>
      </c>
      <c r="G16" s="56"/>
      <c r="H16" s="17" t="s">
        <v>139</v>
      </c>
      <c r="I16" s="46" t="s">
        <v>114</v>
      </c>
      <c r="J16" s="46" t="s">
        <v>115</v>
      </c>
      <c r="K16" s="46" t="s">
        <v>115</v>
      </c>
      <c r="L16" s="46" t="s">
        <v>114</v>
      </c>
    </row>
    <row r="17" spans="1:12" x14ac:dyDescent="0.35">
      <c r="A17" s="25"/>
      <c r="B17" s="68" t="str">
        <f t="shared" si="0"/>
        <v>OBLGOR_NO_MAP_ORIGObligor</v>
      </c>
      <c r="C17" s="46">
        <v>0.1</v>
      </c>
      <c r="D17" s="69" t="s">
        <v>140</v>
      </c>
      <c r="E17" s="57" t="s">
        <v>44</v>
      </c>
      <c r="F17" s="57" t="s">
        <v>10</v>
      </c>
      <c r="G17" s="56"/>
      <c r="H17" s="17" t="s">
        <v>132</v>
      </c>
      <c r="I17" s="46" t="s">
        <v>133</v>
      </c>
      <c r="J17" s="46" t="s">
        <v>115</v>
      </c>
      <c r="K17" s="46" t="s">
        <v>115</v>
      </c>
      <c r="L17" s="46" t="s">
        <v>116</v>
      </c>
    </row>
    <row r="18" spans="1:12" x14ac:dyDescent="0.35">
      <c r="A18" s="25"/>
      <c r="B18" s="68" t="str">
        <f t="shared" si="0"/>
        <v>OBLGOR_SSM_CODE_MAP_ORIGObligor</v>
      </c>
      <c r="C18" s="46">
        <v>0.1</v>
      </c>
      <c r="D18" s="69" t="s">
        <v>141</v>
      </c>
      <c r="E18" s="57" t="s">
        <v>44</v>
      </c>
      <c r="F18" s="57" t="s">
        <v>14</v>
      </c>
      <c r="G18" s="56"/>
      <c r="H18" s="17" t="s">
        <v>132</v>
      </c>
      <c r="I18" s="46" t="s">
        <v>133</v>
      </c>
      <c r="J18" s="46" t="s">
        <v>115</v>
      </c>
      <c r="K18" s="46" t="s">
        <v>115</v>
      </c>
      <c r="L18" s="46" t="s">
        <v>116</v>
      </c>
    </row>
    <row r="19" spans="1:12" x14ac:dyDescent="0.35">
      <c r="A19" s="25"/>
      <c r="B19" s="68" t="str">
        <f t="shared" si="0"/>
        <v>OBG_BUS_REF_DTS_MAP_ORIGObligor</v>
      </c>
      <c r="C19" s="46">
        <v>0.1</v>
      </c>
      <c r="D19" s="69" t="s">
        <v>142</v>
      </c>
      <c r="E19" s="57" t="s">
        <v>44</v>
      </c>
      <c r="F19" s="57" t="s">
        <v>16</v>
      </c>
      <c r="G19" s="56"/>
      <c r="H19" s="17" t="s">
        <v>132</v>
      </c>
      <c r="I19" s="46" t="s">
        <v>133</v>
      </c>
      <c r="J19" s="46" t="s">
        <v>115</v>
      </c>
      <c r="K19" s="46" t="s">
        <v>115</v>
      </c>
      <c r="L19" s="46" t="s">
        <v>116</v>
      </c>
    </row>
    <row r="20" spans="1:12" x14ac:dyDescent="0.35">
      <c r="A20" s="25"/>
      <c r="B20" s="68" t="str">
        <f t="shared" si="0"/>
        <v>OBG_MM_BCKT_CODE_ORIGObligor</v>
      </c>
      <c r="C20" s="46">
        <v>0.1</v>
      </c>
      <c r="D20" s="23" t="s">
        <v>143</v>
      </c>
      <c r="E20" s="57" t="s">
        <v>44</v>
      </c>
      <c r="F20" s="57" t="s">
        <v>144</v>
      </c>
      <c r="G20" s="56"/>
      <c r="H20" s="17" t="s">
        <v>132</v>
      </c>
      <c r="I20" s="46" t="s">
        <v>133</v>
      </c>
      <c r="J20" s="46" t="s">
        <v>115</v>
      </c>
      <c r="K20" s="46" t="s">
        <v>115</v>
      </c>
      <c r="L20" s="46" t="s">
        <v>116</v>
      </c>
    </row>
    <row r="21" spans="1:12" x14ac:dyDescent="0.35">
      <c r="A21" s="25"/>
      <c r="B21" s="68" t="str">
        <f t="shared" si="0"/>
        <v>OBG_SUST_CURE_3B_PCTObligor</v>
      </c>
      <c r="C21" s="46">
        <v>0.1</v>
      </c>
      <c r="D21" s="69" t="s">
        <v>145</v>
      </c>
      <c r="E21" s="57" t="s">
        <v>44</v>
      </c>
      <c r="F21" s="57" t="s">
        <v>146</v>
      </c>
      <c r="G21" s="56"/>
      <c r="H21" s="17"/>
      <c r="I21" s="46" t="s">
        <v>114</v>
      </c>
      <c r="J21" s="46" t="s">
        <v>115</v>
      </c>
      <c r="K21" s="46" t="s">
        <v>115</v>
      </c>
      <c r="L21" s="46" t="s">
        <v>116</v>
      </c>
    </row>
    <row r="22" spans="1:12" x14ac:dyDescent="0.35">
      <c r="A22" s="25"/>
      <c r="B22" s="68" t="str">
        <f t="shared" si="0"/>
        <v>OBLGOR_NOObligor_CRC</v>
      </c>
      <c r="C22" s="46">
        <v>0.1</v>
      </c>
      <c r="D22" s="17" t="s">
        <v>112</v>
      </c>
      <c r="E22" s="17" t="s">
        <v>147</v>
      </c>
      <c r="F22" s="17" t="s">
        <v>10</v>
      </c>
      <c r="G22" s="17" t="s">
        <v>148</v>
      </c>
      <c r="H22" s="17" t="s">
        <v>113</v>
      </c>
      <c r="I22" s="46" t="s">
        <v>114</v>
      </c>
      <c r="J22" s="46" t="s">
        <v>115</v>
      </c>
      <c r="K22" s="46" t="s">
        <v>115</v>
      </c>
      <c r="L22" s="46" t="s">
        <v>116</v>
      </c>
    </row>
    <row r="23" spans="1:12" x14ac:dyDescent="0.35">
      <c r="A23" s="25"/>
      <c r="B23" s="68" t="str">
        <f t="shared" si="0"/>
        <v>OBLGOR_SSM_CODEObligor_CRC</v>
      </c>
      <c r="C23" s="46">
        <v>0.1</v>
      </c>
      <c r="D23" s="17" t="s">
        <v>117</v>
      </c>
      <c r="E23" s="17" t="s">
        <v>147</v>
      </c>
      <c r="F23" s="17" t="s">
        <v>14</v>
      </c>
      <c r="G23" s="17" t="s">
        <v>148</v>
      </c>
      <c r="H23" s="17" t="s">
        <v>118</v>
      </c>
      <c r="I23" s="46" t="s">
        <v>114</v>
      </c>
      <c r="J23" s="46" t="s">
        <v>115</v>
      </c>
      <c r="K23" s="46" t="s">
        <v>115</v>
      </c>
      <c r="L23" s="46" t="s">
        <v>116</v>
      </c>
    </row>
    <row r="24" spans="1:12" x14ac:dyDescent="0.35">
      <c r="A24" s="25"/>
      <c r="B24" s="68" t="str">
        <f t="shared" si="0"/>
        <v>OBG_CRC_BUS_REF_DTSObligor_CRC</v>
      </c>
      <c r="C24" s="46">
        <v>0.1</v>
      </c>
      <c r="D24" s="17" t="s">
        <v>149</v>
      </c>
      <c r="E24" s="17" t="s">
        <v>147</v>
      </c>
      <c r="F24" s="17" t="s">
        <v>16</v>
      </c>
      <c r="G24" s="17" t="s">
        <v>148</v>
      </c>
      <c r="H24" s="17" t="s">
        <v>150</v>
      </c>
      <c r="I24" s="46" t="s">
        <v>114</v>
      </c>
      <c r="J24" s="46" t="s">
        <v>115</v>
      </c>
      <c r="K24" s="46" t="s">
        <v>115</v>
      </c>
      <c r="L24" s="46" t="s">
        <v>116</v>
      </c>
    </row>
    <row r="25" spans="1:12" x14ac:dyDescent="0.35">
      <c r="A25" s="25"/>
      <c r="B25" s="68" t="str">
        <f t="shared" si="0"/>
        <v>OBG_DFLT_EV_EFF_DTObligor_CRC</v>
      </c>
      <c r="C25" s="46">
        <v>0.1</v>
      </c>
      <c r="D25" s="17" t="s">
        <v>151</v>
      </c>
      <c r="E25" s="17" t="s">
        <v>147</v>
      </c>
      <c r="F25" s="17" t="s">
        <v>33</v>
      </c>
      <c r="G25" s="56"/>
      <c r="H25" s="17" t="s">
        <v>152</v>
      </c>
      <c r="I25" s="46" t="s">
        <v>114</v>
      </c>
      <c r="J25" s="46" t="s">
        <v>115</v>
      </c>
      <c r="K25" s="46" t="s">
        <v>115</v>
      </c>
      <c r="L25" s="46" t="s">
        <v>116</v>
      </c>
    </row>
    <row r="26" spans="1:12" x14ac:dyDescent="0.35">
      <c r="A26" s="25"/>
      <c r="B26" s="68" t="str">
        <f t="shared" si="0"/>
        <v>OBG_NOObligor_CRC_Result</v>
      </c>
      <c r="C26" s="46">
        <v>0.1</v>
      </c>
      <c r="D26" s="17" t="s">
        <v>153</v>
      </c>
      <c r="E26" s="17" t="s">
        <v>154</v>
      </c>
      <c r="F26" s="17" t="s">
        <v>10</v>
      </c>
      <c r="G26" s="17" t="s">
        <v>148</v>
      </c>
      <c r="H26" s="17" t="s">
        <v>113</v>
      </c>
      <c r="I26" s="46" t="s">
        <v>114</v>
      </c>
      <c r="J26" s="46" t="s">
        <v>115</v>
      </c>
      <c r="K26" s="46" t="s">
        <v>115</v>
      </c>
      <c r="L26" s="46" t="s">
        <v>116</v>
      </c>
    </row>
    <row r="27" spans="1:12" x14ac:dyDescent="0.35">
      <c r="A27" s="25"/>
      <c r="B27" s="68" t="str">
        <f t="shared" si="0"/>
        <v>OBG_SSM_CODEObligor_CRC_Result</v>
      </c>
      <c r="C27" s="46">
        <v>0.1</v>
      </c>
      <c r="D27" s="17" t="s">
        <v>155</v>
      </c>
      <c r="E27" s="17" t="s">
        <v>154</v>
      </c>
      <c r="F27" s="17" t="s">
        <v>14</v>
      </c>
      <c r="G27" s="17" t="s">
        <v>148</v>
      </c>
      <c r="H27" s="17" t="s">
        <v>118</v>
      </c>
      <c r="I27" s="46" t="s">
        <v>114</v>
      </c>
      <c r="J27" s="46" t="s">
        <v>115</v>
      </c>
      <c r="K27" s="46" t="s">
        <v>115</v>
      </c>
      <c r="L27" s="46" t="s">
        <v>116</v>
      </c>
    </row>
    <row r="28" spans="1:12" x14ac:dyDescent="0.35">
      <c r="A28" s="25"/>
      <c r="B28" s="68" t="str">
        <f t="shared" si="0"/>
        <v>OBG_CRC_BUS_REF_DTSObligor_CRC_Result</v>
      </c>
      <c r="C28" s="46">
        <v>0.1</v>
      </c>
      <c r="D28" s="17" t="s">
        <v>149</v>
      </c>
      <c r="E28" s="17" t="s">
        <v>154</v>
      </c>
      <c r="F28" s="17" t="s">
        <v>16</v>
      </c>
      <c r="G28" s="17" t="s">
        <v>148</v>
      </c>
      <c r="H28" s="17" t="s">
        <v>150</v>
      </c>
      <c r="I28" s="46" t="s">
        <v>114</v>
      </c>
      <c r="J28" s="46" t="s">
        <v>115</v>
      </c>
      <c r="K28" s="46" t="s">
        <v>115</v>
      </c>
      <c r="L28" s="46" t="s">
        <v>116</v>
      </c>
    </row>
    <row r="29" spans="1:12" x14ac:dyDescent="0.35">
      <c r="A29" s="25"/>
      <c r="B29" s="68" t="str">
        <f t="shared" si="0"/>
        <v>OBG_CRC_CODEObligor_CRC_Result</v>
      </c>
      <c r="C29" s="46">
        <v>0.1</v>
      </c>
      <c r="D29" s="17" t="s">
        <v>156</v>
      </c>
      <c r="E29" s="17" t="s">
        <v>154</v>
      </c>
      <c r="F29" s="17" t="s">
        <v>157</v>
      </c>
      <c r="G29" s="56"/>
      <c r="H29" s="17" t="s">
        <v>158</v>
      </c>
      <c r="I29" s="46" t="s">
        <v>114</v>
      </c>
      <c r="J29" s="46" t="s">
        <v>115</v>
      </c>
      <c r="K29" s="46" t="s">
        <v>115</v>
      </c>
      <c r="L29" s="46" t="s">
        <v>116</v>
      </c>
    </row>
    <row r="30" spans="1:12" x14ac:dyDescent="0.35">
      <c r="A30" s="25"/>
      <c r="B30" s="68" t="str">
        <f t="shared" si="0"/>
        <v>OBG_NOObligor_DPD</v>
      </c>
      <c r="C30" s="46">
        <v>0.1</v>
      </c>
      <c r="D30" s="17" t="s">
        <v>153</v>
      </c>
      <c r="E30" s="17" t="s">
        <v>159</v>
      </c>
      <c r="F30" s="17" t="s">
        <v>10</v>
      </c>
      <c r="G30" s="17" t="s">
        <v>148</v>
      </c>
      <c r="H30" s="17" t="s">
        <v>113</v>
      </c>
      <c r="I30" s="46" t="s">
        <v>114</v>
      </c>
      <c r="J30" s="46" t="s">
        <v>115</v>
      </c>
      <c r="K30" s="46" t="s">
        <v>115</v>
      </c>
      <c r="L30" s="46" t="s">
        <v>116</v>
      </c>
    </row>
    <row r="31" spans="1:12" x14ac:dyDescent="0.35">
      <c r="A31" s="25"/>
      <c r="B31" s="68" t="str">
        <f t="shared" si="0"/>
        <v>OBG_SSM_CODEObligor_DPD</v>
      </c>
      <c r="C31" s="46">
        <v>0.1</v>
      </c>
      <c r="D31" s="17" t="s">
        <v>155</v>
      </c>
      <c r="E31" s="17" t="s">
        <v>159</v>
      </c>
      <c r="F31" s="17" t="s">
        <v>14</v>
      </c>
      <c r="G31" s="17" t="s">
        <v>148</v>
      </c>
      <c r="H31" s="17" t="s">
        <v>118</v>
      </c>
      <c r="I31" s="46" t="s">
        <v>114</v>
      </c>
      <c r="J31" s="46" t="s">
        <v>115</v>
      </c>
      <c r="K31" s="46" t="s">
        <v>115</v>
      </c>
      <c r="L31" s="46" t="s">
        <v>116</v>
      </c>
    </row>
    <row r="32" spans="1:12" x14ac:dyDescent="0.35">
      <c r="A32" s="25"/>
      <c r="B32" s="68" t="str">
        <f t="shared" si="0"/>
        <v>OBG_DPD_BUS_REF_DTSObligor_DPD</v>
      </c>
      <c r="C32" s="46">
        <v>0.1</v>
      </c>
      <c r="D32" s="17" t="s">
        <v>160</v>
      </c>
      <c r="E32" s="17" t="s">
        <v>159</v>
      </c>
      <c r="F32" s="17" t="s">
        <v>16</v>
      </c>
      <c r="G32" s="17" t="s">
        <v>148</v>
      </c>
      <c r="H32" s="17" t="s">
        <v>161</v>
      </c>
      <c r="I32" s="46" t="s">
        <v>114</v>
      </c>
      <c r="J32" s="46" t="s">
        <v>115</v>
      </c>
      <c r="K32" s="46" t="s">
        <v>115</v>
      </c>
      <c r="L32" s="46" t="s">
        <v>116</v>
      </c>
    </row>
    <row r="33" spans="1:12" x14ac:dyDescent="0.35">
      <c r="A33" s="25"/>
      <c r="B33" s="68" t="str">
        <f t="shared" si="0"/>
        <v>OBG_DYS_PAST_DUE_CNTER_NOD_PAST_DUEObligor_DPD</v>
      </c>
      <c r="C33" s="46">
        <v>0.1</v>
      </c>
      <c r="D33" s="17" t="s">
        <v>162</v>
      </c>
      <c r="E33" s="17" t="s">
        <v>159</v>
      </c>
      <c r="F33" s="17" t="s">
        <v>163</v>
      </c>
      <c r="G33" s="56"/>
      <c r="H33" s="17" t="s">
        <v>164</v>
      </c>
      <c r="I33" s="46" t="s">
        <v>114</v>
      </c>
      <c r="J33" s="46" t="s">
        <v>115</v>
      </c>
      <c r="K33" s="46" t="s">
        <v>115</v>
      </c>
      <c r="L33" s="46" t="s">
        <v>116</v>
      </c>
    </row>
    <row r="34" spans="1:12" x14ac:dyDescent="0.35">
      <c r="A34" s="25"/>
      <c r="B34" s="68" t="str">
        <f t="shared" si="0"/>
        <v>OBG_NOObligor_PD</v>
      </c>
      <c r="C34" s="46">
        <v>0.1</v>
      </c>
      <c r="D34" s="17" t="s">
        <v>153</v>
      </c>
      <c r="E34" s="17" t="s">
        <v>165</v>
      </c>
      <c r="F34" s="17" t="s">
        <v>10</v>
      </c>
      <c r="G34" s="17" t="s">
        <v>148</v>
      </c>
      <c r="H34" s="17" t="s">
        <v>113</v>
      </c>
      <c r="I34" s="46" t="s">
        <v>114</v>
      </c>
      <c r="J34" s="46"/>
      <c r="K34" s="46" t="s">
        <v>115</v>
      </c>
      <c r="L34" s="46" t="s">
        <v>116</v>
      </c>
    </row>
    <row r="35" spans="1:12" x14ac:dyDescent="0.35">
      <c r="A35" s="25"/>
      <c r="B35" s="68" t="str">
        <f t="shared" si="0"/>
        <v>OBG_SSM_CODEObligor_PD</v>
      </c>
      <c r="C35" s="46">
        <v>0.1</v>
      </c>
      <c r="D35" s="17" t="s">
        <v>155</v>
      </c>
      <c r="E35" s="17" t="s">
        <v>165</v>
      </c>
      <c r="F35" s="17" t="s">
        <v>14</v>
      </c>
      <c r="G35" s="17" t="s">
        <v>148</v>
      </c>
      <c r="H35" s="17" t="s">
        <v>118</v>
      </c>
      <c r="I35" s="46" t="s">
        <v>114</v>
      </c>
      <c r="J35" s="46"/>
      <c r="K35" s="46" t="s">
        <v>115</v>
      </c>
      <c r="L35" s="46" t="s">
        <v>116</v>
      </c>
    </row>
    <row r="36" spans="1:12" x14ac:dyDescent="0.35">
      <c r="A36" s="25"/>
      <c r="B36" s="68" t="str">
        <f t="shared" si="0"/>
        <v>OBG_PD_MODL_IDObligor_PD</v>
      </c>
      <c r="C36" s="46">
        <v>0.1</v>
      </c>
      <c r="D36" s="17" t="s">
        <v>166</v>
      </c>
      <c r="E36" s="17" t="s">
        <v>165</v>
      </c>
      <c r="F36" s="17" t="s">
        <v>18</v>
      </c>
      <c r="G36" s="56"/>
      <c r="H36" s="17" t="s">
        <v>167</v>
      </c>
      <c r="I36" s="46" t="s">
        <v>114</v>
      </c>
      <c r="J36" s="46" t="s">
        <v>168</v>
      </c>
      <c r="K36" s="46" t="s">
        <v>169</v>
      </c>
      <c r="L36" s="46" t="s">
        <v>114</v>
      </c>
    </row>
    <row r="37" spans="1:12" x14ac:dyDescent="0.35">
      <c r="A37" s="25"/>
      <c r="B37" s="68" t="str">
        <f t="shared" si="0"/>
        <v>OBG_PD_MODL_NMObligor_PD</v>
      </c>
      <c r="C37" s="46">
        <v>0.1</v>
      </c>
      <c r="D37" s="17" t="s">
        <v>170</v>
      </c>
      <c r="E37" s="17" t="s">
        <v>165</v>
      </c>
      <c r="F37" s="17" t="s">
        <v>171</v>
      </c>
      <c r="G37" s="56"/>
      <c r="H37" s="17" t="s">
        <v>172</v>
      </c>
      <c r="I37" s="46" t="s">
        <v>114</v>
      </c>
      <c r="J37" s="46" t="s">
        <v>168</v>
      </c>
      <c r="K37" s="46" t="s">
        <v>173</v>
      </c>
      <c r="L37" s="46" t="s">
        <v>114</v>
      </c>
    </row>
    <row r="38" spans="1:12" x14ac:dyDescent="0.35">
      <c r="A38" s="25"/>
      <c r="B38" s="68" t="str">
        <f t="shared" si="0"/>
        <v>OBG_PD_BUS_REF_DTSObligor_PD</v>
      </c>
      <c r="C38" s="46">
        <v>0.1</v>
      </c>
      <c r="D38" s="17" t="s">
        <v>174</v>
      </c>
      <c r="E38" s="17" t="s">
        <v>165</v>
      </c>
      <c r="F38" s="17" t="s">
        <v>16</v>
      </c>
      <c r="G38" s="17" t="s">
        <v>148</v>
      </c>
      <c r="H38" s="17" t="s">
        <v>175</v>
      </c>
      <c r="I38" s="46" t="s">
        <v>114</v>
      </c>
      <c r="J38" s="46"/>
      <c r="K38" s="69"/>
      <c r="L38" s="46" t="s">
        <v>116</v>
      </c>
    </row>
    <row r="39" spans="1:12" x14ac:dyDescent="0.35">
      <c r="A39" s="25"/>
      <c r="B39" s="68" t="str">
        <f t="shared" si="0"/>
        <v>OBG_PD_RABO_RSK_RTG_BEST_EST_CODEObligor_PD</v>
      </c>
      <c r="C39" s="46">
        <v>0.1</v>
      </c>
      <c r="D39" s="17" t="s">
        <v>176</v>
      </c>
      <c r="E39" s="17" t="s">
        <v>165</v>
      </c>
      <c r="F39" s="17" t="s">
        <v>177</v>
      </c>
      <c r="G39" s="56"/>
      <c r="H39" s="17" t="s">
        <v>178</v>
      </c>
      <c r="I39" s="46" t="s">
        <v>114</v>
      </c>
      <c r="J39" s="46" t="s">
        <v>179</v>
      </c>
      <c r="K39" s="69" t="s">
        <v>180</v>
      </c>
      <c r="L39" s="46" t="s">
        <v>116</v>
      </c>
    </row>
    <row r="40" spans="1:12" x14ac:dyDescent="0.35">
      <c r="A40" s="25"/>
      <c r="B40" s="68" t="str">
        <f t="shared" si="0"/>
        <v>OBG_PD_RCPTL_PCTObligor_PD</v>
      </c>
      <c r="C40" s="46">
        <v>0.1</v>
      </c>
      <c r="D40" s="17" t="s">
        <v>181</v>
      </c>
      <c r="E40" s="17" t="s">
        <v>165</v>
      </c>
      <c r="F40" s="17" t="s">
        <v>38</v>
      </c>
      <c r="G40" s="56"/>
      <c r="H40" s="17" t="s">
        <v>182</v>
      </c>
      <c r="I40" s="46" t="s">
        <v>114</v>
      </c>
      <c r="J40" s="46" t="s">
        <v>168</v>
      </c>
      <c r="K40" s="46" t="s">
        <v>183</v>
      </c>
      <c r="L40" s="46" t="s">
        <v>116</v>
      </c>
    </row>
    <row r="41" spans="1:12" x14ac:dyDescent="0.35">
      <c r="A41" s="25"/>
      <c r="B41" s="68" t="str">
        <f t="shared" si="0"/>
        <v>REG_FCY_BU_CODERegulatory_Facility</v>
      </c>
      <c r="C41" s="46">
        <v>0.1</v>
      </c>
      <c r="D41" s="17" t="s">
        <v>184</v>
      </c>
      <c r="E41" s="17" t="s">
        <v>93</v>
      </c>
      <c r="F41" s="17" t="s">
        <v>14</v>
      </c>
      <c r="G41" s="56"/>
      <c r="H41" s="17" t="s">
        <v>185</v>
      </c>
      <c r="I41" s="46" t="s">
        <v>114</v>
      </c>
      <c r="J41" s="46" t="s">
        <v>115</v>
      </c>
      <c r="K41" s="46" t="s">
        <v>115</v>
      </c>
      <c r="L41" s="46" t="s">
        <v>114</v>
      </c>
    </row>
    <row r="42" spans="1:12" x14ac:dyDescent="0.35">
      <c r="A42" s="25"/>
      <c r="B42" s="68" t="str">
        <f t="shared" si="0"/>
        <v>REG_FCY_NORegulatory_Facility</v>
      </c>
      <c r="C42" s="46">
        <v>0.1</v>
      </c>
      <c r="D42" s="17" t="s">
        <v>186</v>
      </c>
      <c r="E42" s="17" t="s">
        <v>93</v>
      </c>
      <c r="F42" s="17" t="s">
        <v>10</v>
      </c>
      <c r="G42" s="17" t="s">
        <v>4</v>
      </c>
      <c r="H42" s="17" t="s">
        <v>187</v>
      </c>
      <c r="I42" s="46" t="s">
        <v>114</v>
      </c>
      <c r="J42" s="46" t="s">
        <v>115</v>
      </c>
      <c r="K42" s="46" t="s">
        <v>115</v>
      </c>
      <c r="L42" s="46" t="s">
        <v>116</v>
      </c>
    </row>
    <row r="43" spans="1:12" x14ac:dyDescent="0.35">
      <c r="A43" s="25"/>
      <c r="B43" s="68" t="str">
        <f t="shared" si="0"/>
        <v>REG_FCY_SSM_CODERegulatory_Facility</v>
      </c>
      <c r="C43" s="46">
        <v>0.1</v>
      </c>
      <c r="D43" s="17" t="s">
        <v>188</v>
      </c>
      <c r="E43" s="17" t="s">
        <v>93</v>
      </c>
      <c r="F43" s="17" t="s">
        <v>14</v>
      </c>
      <c r="G43" s="17" t="s">
        <v>4</v>
      </c>
      <c r="H43" s="17" t="s">
        <v>189</v>
      </c>
      <c r="I43" s="46" t="s">
        <v>114</v>
      </c>
      <c r="J43" s="46" t="s">
        <v>115</v>
      </c>
      <c r="K43" s="46" t="s">
        <v>115</v>
      </c>
      <c r="L43" s="46" t="s">
        <v>116</v>
      </c>
    </row>
    <row r="44" spans="1:12" x14ac:dyDescent="0.35">
      <c r="A44" s="25"/>
      <c r="B44" s="68" t="str">
        <f t="shared" si="0"/>
        <v>REG_FCY_BUS_REF_DTSRegulatory_Facility</v>
      </c>
      <c r="C44" s="46">
        <v>0.1</v>
      </c>
      <c r="D44" s="17" t="s">
        <v>190</v>
      </c>
      <c r="E44" s="17" t="s">
        <v>93</v>
      </c>
      <c r="F44" s="17" t="s">
        <v>16</v>
      </c>
      <c r="G44" s="17" t="s">
        <v>4</v>
      </c>
      <c r="H44" s="17" t="s">
        <v>191</v>
      </c>
      <c r="I44" s="46" t="s">
        <v>114</v>
      </c>
      <c r="J44" s="46" t="s">
        <v>115</v>
      </c>
      <c r="K44" s="46" t="s">
        <v>115</v>
      </c>
      <c r="L44" s="46" t="s">
        <v>116</v>
      </c>
    </row>
    <row r="45" spans="1:12" x14ac:dyDescent="0.35">
      <c r="A45" s="25"/>
      <c r="B45" s="68" t="str">
        <f t="shared" si="0"/>
        <v>OBLGOR_NORegulatory_Facility</v>
      </c>
      <c r="C45" s="46">
        <v>0.1</v>
      </c>
      <c r="D45" s="17" t="s">
        <v>112</v>
      </c>
      <c r="E45" s="17" t="s">
        <v>93</v>
      </c>
      <c r="F45" s="17" t="s">
        <v>10</v>
      </c>
      <c r="G45" s="17" t="s">
        <v>192</v>
      </c>
      <c r="H45" s="17" t="s">
        <v>113</v>
      </c>
      <c r="I45" s="46" t="s">
        <v>114</v>
      </c>
      <c r="J45" s="46" t="s">
        <v>115</v>
      </c>
      <c r="K45" s="46" t="s">
        <v>115</v>
      </c>
      <c r="L45" s="46" t="s">
        <v>116</v>
      </c>
    </row>
    <row r="46" spans="1:12" x14ac:dyDescent="0.35">
      <c r="A46" s="25"/>
      <c r="B46" s="68" t="str">
        <f t="shared" si="0"/>
        <v>OBLGOR_SSM_CODERegulatory_Facility</v>
      </c>
      <c r="C46" s="46">
        <v>0.1</v>
      </c>
      <c r="D46" s="17" t="s">
        <v>117</v>
      </c>
      <c r="E46" s="17" t="s">
        <v>93</v>
      </c>
      <c r="F46" s="17" t="s">
        <v>14</v>
      </c>
      <c r="G46" s="17" t="s">
        <v>192</v>
      </c>
      <c r="H46" s="17" t="s">
        <v>118</v>
      </c>
      <c r="I46" s="46" t="s">
        <v>114</v>
      </c>
      <c r="J46" s="46" t="s">
        <v>115</v>
      </c>
      <c r="K46" s="46" t="s">
        <v>115</v>
      </c>
      <c r="L46" s="46" t="s">
        <v>116</v>
      </c>
    </row>
    <row r="47" spans="1:12" x14ac:dyDescent="0.35">
      <c r="A47" s="25"/>
      <c r="B47" s="68" t="str">
        <f t="shared" si="0"/>
        <v>OBG_BUS_REF_DTSRegulatory_Facility</v>
      </c>
      <c r="C47" s="46">
        <v>0.1</v>
      </c>
      <c r="D47" s="17" t="s">
        <v>121</v>
      </c>
      <c r="E47" s="17" t="s">
        <v>93</v>
      </c>
      <c r="F47" s="17" t="s">
        <v>16</v>
      </c>
      <c r="G47" s="17" t="s">
        <v>192</v>
      </c>
      <c r="H47" s="17" t="s">
        <v>122</v>
      </c>
      <c r="I47" s="46" t="s">
        <v>114</v>
      </c>
      <c r="J47" s="46" t="s">
        <v>115</v>
      </c>
      <c r="K47" s="46" t="s">
        <v>115</v>
      </c>
      <c r="L47" s="46" t="s">
        <v>116</v>
      </c>
    </row>
    <row r="48" spans="1:12" x14ac:dyDescent="0.35">
      <c r="A48" s="25"/>
      <c r="B48" s="68" t="str">
        <f t="shared" si="0"/>
        <v>REG_FCY_NO_ORIGRegulatory_Facility</v>
      </c>
      <c r="C48" s="46">
        <v>0.1</v>
      </c>
      <c r="D48" s="17" t="s">
        <v>193</v>
      </c>
      <c r="E48" s="17" t="s">
        <v>93</v>
      </c>
      <c r="F48" s="17" t="s">
        <v>10</v>
      </c>
      <c r="G48" s="56"/>
      <c r="H48" s="17" t="s">
        <v>132</v>
      </c>
      <c r="I48" s="46" t="s">
        <v>133</v>
      </c>
      <c r="J48" s="46" t="s">
        <v>115</v>
      </c>
      <c r="K48" s="46" t="s">
        <v>115</v>
      </c>
      <c r="L48" s="46" t="s">
        <v>116</v>
      </c>
    </row>
    <row r="49" spans="1:12" x14ac:dyDescent="0.35">
      <c r="A49" s="25"/>
      <c r="B49" s="68" t="str">
        <f t="shared" si="0"/>
        <v>REG_FCY_SSM_CODE_ORIGRegulatory_Facility</v>
      </c>
      <c r="C49" s="46">
        <v>0.1</v>
      </c>
      <c r="D49" s="17" t="s">
        <v>194</v>
      </c>
      <c r="E49" s="17" t="s">
        <v>93</v>
      </c>
      <c r="F49" s="17" t="s">
        <v>14</v>
      </c>
      <c r="G49" s="56"/>
      <c r="H49" s="17" t="s">
        <v>132</v>
      </c>
      <c r="I49" s="46" t="s">
        <v>133</v>
      </c>
      <c r="J49" s="46" t="s">
        <v>115</v>
      </c>
      <c r="K49" s="46" t="s">
        <v>115</v>
      </c>
      <c r="L49" s="46" t="s">
        <v>116</v>
      </c>
    </row>
    <row r="50" spans="1:12" x14ac:dyDescent="0.35">
      <c r="A50" s="25"/>
      <c r="B50" s="68" t="str">
        <f t="shared" si="0"/>
        <v>REG_FCY_BUS_REF_DTS_ORIGRegulatory_Facility</v>
      </c>
      <c r="C50" s="46">
        <v>0.1</v>
      </c>
      <c r="D50" s="69" t="s">
        <v>195</v>
      </c>
      <c r="E50" s="17" t="s">
        <v>93</v>
      </c>
      <c r="F50" s="17" t="s">
        <v>16</v>
      </c>
      <c r="G50" s="56"/>
      <c r="H50" s="17" t="s">
        <v>132</v>
      </c>
      <c r="I50" s="46" t="s">
        <v>133</v>
      </c>
      <c r="J50" s="46" t="s">
        <v>115</v>
      </c>
      <c r="K50" s="46" t="s">
        <v>115</v>
      </c>
      <c r="L50" s="46" t="s">
        <v>116</v>
      </c>
    </row>
    <row r="51" spans="1:12" x14ac:dyDescent="0.35">
      <c r="A51" s="25"/>
      <c r="B51" s="68" t="str">
        <f t="shared" si="0"/>
        <v>REG_FCY_NEW_INFL_FLGRegulatory_Facility</v>
      </c>
      <c r="C51" s="46">
        <v>0.1</v>
      </c>
      <c r="D51" s="17" t="s">
        <v>196</v>
      </c>
      <c r="E51" s="17" t="s">
        <v>93</v>
      </c>
      <c r="F51" s="17" t="s">
        <v>65</v>
      </c>
      <c r="G51" s="56"/>
      <c r="H51" s="17" t="s">
        <v>132</v>
      </c>
      <c r="I51" s="46" t="s">
        <v>133</v>
      </c>
      <c r="J51" s="46" t="s">
        <v>115</v>
      </c>
      <c r="K51" s="46" t="s">
        <v>115</v>
      </c>
      <c r="L51" s="46" t="s">
        <v>116</v>
      </c>
    </row>
    <row r="52" spans="1:12" x14ac:dyDescent="0.35">
      <c r="A52" s="25"/>
      <c r="B52" s="68" t="str">
        <f t="shared" si="0"/>
        <v>REG_FCY_NEW_INFL_PERIODRegulatory_Facility</v>
      </c>
      <c r="C52" s="46">
        <v>0.1</v>
      </c>
      <c r="D52" s="17" t="s">
        <v>197</v>
      </c>
      <c r="E52" s="17" t="s">
        <v>93</v>
      </c>
      <c r="F52" s="17" t="s">
        <v>27</v>
      </c>
      <c r="G52" s="56"/>
      <c r="H52" s="17" t="s">
        <v>132</v>
      </c>
      <c r="I52" s="46" t="s">
        <v>133</v>
      </c>
      <c r="J52" s="46" t="s">
        <v>115</v>
      </c>
      <c r="K52" s="46" t="s">
        <v>115</v>
      </c>
      <c r="L52" s="46" t="s">
        <v>116</v>
      </c>
    </row>
    <row r="53" spans="1:12" x14ac:dyDescent="0.35">
      <c r="A53" s="25"/>
      <c r="B53" s="68" t="str">
        <f t="shared" si="0"/>
        <v>REG_FCY_NO_MAP_ORIGRegulatory_Facility</v>
      </c>
      <c r="C53" s="46">
        <v>0.1</v>
      </c>
      <c r="D53" s="17" t="s">
        <v>198</v>
      </c>
      <c r="E53" s="17" t="s">
        <v>93</v>
      </c>
      <c r="F53" s="17" t="s">
        <v>10</v>
      </c>
      <c r="G53" s="56"/>
      <c r="H53" s="17" t="s">
        <v>132</v>
      </c>
      <c r="I53" s="46" t="s">
        <v>133</v>
      </c>
      <c r="J53" s="46" t="s">
        <v>115</v>
      </c>
      <c r="K53" s="46" t="s">
        <v>115</v>
      </c>
      <c r="L53" s="46" t="s">
        <v>116</v>
      </c>
    </row>
    <row r="54" spans="1:12" x14ac:dyDescent="0.35">
      <c r="A54" s="25"/>
      <c r="B54" s="68" t="str">
        <f t="shared" si="0"/>
        <v>REG_FCY_SSM_CODE_MAP_ORIGRegulatory_Facility</v>
      </c>
      <c r="C54" s="46">
        <v>0.1</v>
      </c>
      <c r="D54" s="17" t="s">
        <v>199</v>
      </c>
      <c r="E54" s="17" t="s">
        <v>93</v>
      </c>
      <c r="F54" s="17" t="s">
        <v>14</v>
      </c>
      <c r="G54" s="56"/>
      <c r="H54" s="17" t="s">
        <v>132</v>
      </c>
      <c r="I54" s="46" t="s">
        <v>133</v>
      </c>
      <c r="J54" s="46" t="s">
        <v>115</v>
      </c>
      <c r="K54" s="46" t="s">
        <v>115</v>
      </c>
      <c r="L54" s="46" t="s">
        <v>116</v>
      </c>
    </row>
    <row r="55" spans="1:12" x14ac:dyDescent="0.35">
      <c r="A55" s="25"/>
      <c r="B55" s="68" t="str">
        <f t="shared" si="0"/>
        <v>REG_FCY_BUS_REF_DTS_MAP_ORIGRegulatory_Facility</v>
      </c>
      <c r="C55" s="46">
        <v>0.1</v>
      </c>
      <c r="D55" s="17" t="s">
        <v>200</v>
      </c>
      <c r="E55" s="17" t="s">
        <v>93</v>
      </c>
      <c r="F55" s="17" t="s">
        <v>16</v>
      </c>
      <c r="G55" s="56"/>
      <c r="H55" s="17" t="s">
        <v>132</v>
      </c>
      <c r="I55" s="46" t="s">
        <v>133</v>
      </c>
      <c r="J55" s="46" t="s">
        <v>115</v>
      </c>
      <c r="K55" s="46" t="s">
        <v>115</v>
      </c>
      <c r="L55" s="46" t="s">
        <v>116</v>
      </c>
    </row>
    <row r="56" spans="1:12" x14ac:dyDescent="0.35">
      <c r="A56" s="25"/>
      <c r="B56" s="68" t="str">
        <f t="shared" si="0"/>
        <v>REG_FCY_MM_BCKT_CODE_ORIGRegulatory_Facility</v>
      </c>
      <c r="C56" s="46">
        <v>0.1</v>
      </c>
      <c r="D56" s="17" t="s">
        <v>201</v>
      </c>
      <c r="E56" s="17" t="s">
        <v>93</v>
      </c>
      <c r="F56" s="57" t="s">
        <v>144</v>
      </c>
      <c r="G56" s="56"/>
      <c r="H56" s="17" t="s">
        <v>132</v>
      </c>
      <c r="I56" s="46" t="s">
        <v>133</v>
      </c>
      <c r="J56" s="46">
        <v>0</v>
      </c>
      <c r="K56" s="46">
        <v>0</v>
      </c>
      <c r="L56" s="46" t="s">
        <v>116</v>
      </c>
    </row>
    <row r="57" spans="1:12" x14ac:dyDescent="0.35">
      <c r="A57" s="25"/>
      <c r="B57" s="68" t="str">
        <f t="shared" si="0"/>
        <v>REG_FCY_BUS_REF_DTSRegulatory_Facility_LGD</v>
      </c>
      <c r="C57" s="46">
        <v>0.1</v>
      </c>
      <c r="D57" s="17" t="s">
        <v>190</v>
      </c>
      <c r="E57" s="17" t="s">
        <v>202</v>
      </c>
      <c r="F57" s="17" t="s">
        <v>16</v>
      </c>
      <c r="G57" s="17" t="s">
        <v>148</v>
      </c>
      <c r="H57" s="17" t="s">
        <v>191</v>
      </c>
      <c r="I57" s="46" t="s">
        <v>114</v>
      </c>
      <c r="J57" s="46"/>
      <c r="K57" s="46"/>
      <c r="L57" s="46" t="s">
        <v>116</v>
      </c>
    </row>
    <row r="58" spans="1:12" x14ac:dyDescent="0.35">
      <c r="A58" s="25"/>
      <c r="B58" s="68" t="str">
        <f t="shared" si="0"/>
        <v>REG_FCY_NORegulatory_Facility_LGD</v>
      </c>
      <c r="C58" s="46">
        <v>0.1</v>
      </c>
      <c r="D58" s="17" t="s">
        <v>186</v>
      </c>
      <c r="E58" s="17" t="s">
        <v>202</v>
      </c>
      <c r="F58" s="17" t="s">
        <v>10</v>
      </c>
      <c r="G58" s="17" t="s">
        <v>148</v>
      </c>
      <c r="H58" s="17" t="s">
        <v>187</v>
      </c>
      <c r="I58" s="46" t="s">
        <v>114</v>
      </c>
      <c r="J58" s="46"/>
      <c r="K58" s="46"/>
      <c r="L58" s="46" t="s">
        <v>116</v>
      </c>
    </row>
    <row r="59" spans="1:12" x14ac:dyDescent="0.35">
      <c r="A59" s="25"/>
      <c r="B59" s="68" t="str">
        <f t="shared" si="0"/>
        <v>REG_FCY_SSM_CODERegulatory_Facility_LGD</v>
      </c>
      <c r="C59" s="46">
        <v>0.1</v>
      </c>
      <c r="D59" s="17" t="s">
        <v>188</v>
      </c>
      <c r="E59" s="17" t="s">
        <v>202</v>
      </c>
      <c r="F59" s="17" t="s">
        <v>14</v>
      </c>
      <c r="G59" s="17" t="s">
        <v>148</v>
      </c>
      <c r="H59" s="17" t="s">
        <v>189</v>
      </c>
      <c r="I59" s="46" t="s">
        <v>114</v>
      </c>
      <c r="J59" s="46"/>
      <c r="K59" s="46"/>
      <c r="L59" s="46" t="s">
        <v>116</v>
      </c>
    </row>
    <row r="60" spans="1:12" x14ac:dyDescent="0.35">
      <c r="A60" s="25"/>
      <c r="B60" s="68" t="str">
        <f t="shared" si="0"/>
        <v>SCE_AGRM_NOSCE_Agreement</v>
      </c>
      <c r="C60" s="46">
        <v>0.1</v>
      </c>
      <c r="D60" s="17" t="s">
        <v>203</v>
      </c>
      <c r="E60" s="17" t="s">
        <v>64</v>
      </c>
      <c r="F60" s="17" t="s">
        <v>10</v>
      </c>
      <c r="G60" s="17" t="s">
        <v>4</v>
      </c>
      <c r="H60" s="17" t="s">
        <v>204</v>
      </c>
      <c r="I60" s="46" t="s">
        <v>114</v>
      </c>
      <c r="J60" s="46" t="s">
        <v>115</v>
      </c>
      <c r="K60" s="46" t="s">
        <v>115</v>
      </c>
      <c r="L60" s="46" t="s">
        <v>116</v>
      </c>
    </row>
    <row r="61" spans="1:12" x14ac:dyDescent="0.35">
      <c r="A61" s="25"/>
      <c r="B61" s="68" t="str">
        <f t="shared" si="0"/>
        <v>SCE_AGRM_SSM_CODESCE_Agreement</v>
      </c>
      <c r="C61" s="46">
        <v>0.1</v>
      </c>
      <c r="D61" s="17" t="s">
        <v>205</v>
      </c>
      <c r="E61" s="17" t="s">
        <v>64</v>
      </c>
      <c r="F61" s="23" t="s">
        <v>14</v>
      </c>
      <c r="G61" s="17" t="s">
        <v>4</v>
      </c>
      <c r="H61" s="17" t="s">
        <v>206</v>
      </c>
      <c r="I61" s="46" t="s">
        <v>114</v>
      </c>
      <c r="J61" s="46" t="s">
        <v>115</v>
      </c>
      <c r="K61" s="46" t="s">
        <v>115</v>
      </c>
      <c r="L61" s="46" t="s">
        <v>116</v>
      </c>
    </row>
    <row r="62" spans="1:12" x14ac:dyDescent="0.35">
      <c r="A62" s="25"/>
      <c r="B62" s="68" t="str">
        <f t="shared" si="0"/>
        <v>SCE_AGRM_BUS_REF_DTSSCE_Agreement</v>
      </c>
      <c r="C62" s="46">
        <v>0.1</v>
      </c>
      <c r="D62" s="17" t="s">
        <v>207</v>
      </c>
      <c r="E62" s="17" t="s">
        <v>64</v>
      </c>
      <c r="F62" s="17" t="s">
        <v>16</v>
      </c>
      <c r="G62" s="17" t="s">
        <v>4</v>
      </c>
      <c r="H62" s="17" t="s">
        <v>208</v>
      </c>
      <c r="I62" s="46" t="s">
        <v>114</v>
      </c>
      <c r="J62" s="46" t="s">
        <v>115</v>
      </c>
      <c r="K62" s="46" t="s">
        <v>115</v>
      </c>
      <c r="L62" s="46" t="s">
        <v>116</v>
      </c>
    </row>
    <row r="63" spans="1:12" x14ac:dyDescent="0.35">
      <c r="A63" s="25"/>
      <c r="B63" s="68" t="str">
        <f t="shared" si="0"/>
        <v>SCE_AGRM_ORIG_DTSCE_Agreement</v>
      </c>
      <c r="C63" s="46">
        <v>0.1</v>
      </c>
      <c r="D63" s="17" t="s">
        <v>209</v>
      </c>
      <c r="E63" s="17" t="s">
        <v>64</v>
      </c>
      <c r="F63" s="17" t="s">
        <v>33</v>
      </c>
      <c r="G63" s="56"/>
      <c r="H63" s="17" t="s">
        <v>210</v>
      </c>
      <c r="I63" s="46" t="s">
        <v>114</v>
      </c>
      <c r="J63" s="46" t="s">
        <v>115</v>
      </c>
      <c r="K63" s="46" t="s">
        <v>115</v>
      </c>
      <c r="L63" s="46" t="s">
        <v>116</v>
      </c>
    </row>
    <row r="64" spans="1:12" x14ac:dyDescent="0.35">
      <c r="A64" s="25"/>
      <c r="B64" s="68" t="str">
        <f t="shared" si="0"/>
        <v>SCE_AGRM_EXP_DTSCE_Agreement</v>
      </c>
      <c r="C64" s="46">
        <v>0.1</v>
      </c>
      <c r="D64" s="17" t="s">
        <v>211</v>
      </c>
      <c r="E64" s="17" t="s">
        <v>64</v>
      </c>
      <c r="F64" s="17" t="s">
        <v>33</v>
      </c>
      <c r="G64" s="56"/>
      <c r="H64" s="17" t="s">
        <v>212</v>
      </c>
      <c r="I64" s="46" t="s">
        <v>114</v>
      </c>
      <c r="J64" s="46" t="s">
        <v>115</v>
      </c>
      <c r="K64" s="46" t="s">
        <v>115</v>
      </c>
      <c r="L64" s="46" t="s">
        <v>116</v>
      </c>
    </row>
    <row r="65" spans="1:12" x14ac:dyDescent="0.35">
      <c r="A65" s="25"/>
      <c r="B65" s="68" t="str">
        <f t="shared" si="0"/>
        <v>REG_FCY_NOSCE_Agreement</v>
      </c>
      <c r="C65" s="46">
        <v>0.1</v>
      </c>
      <c r="D65" s="17" t="s">
        <v>186</v>
      </c>
      <c r="E65" s="17" t="s">
        <v>64</v>
      </c>
      <c r="F65" s="17" t="s">
        <v>10</v>
      </c>
      <c r="G65" s="17" t="s">
        <v>192</v>
      </c>
      <c r="H65" s="17" t="s">
        <v>187</v>
      </c>
      <c r="I65" s="46" t="s">
        <v>114</v>
      </c>
      <c r="J65" s="46" t="s">
        <v>115</v>
      </c>
      <c r="K65" s="46" t="s">
        <v>115</v>
      </c>
      <c r="L65" s="46" t="s">
        <v>116</v>
      </c>
    </row>
    <row r="66" spans="1:12" x14ac:dyDescent="0.35">
      <c r="A66" s="25"/>
      <c r="B66" s="68" t="str">
        <f t="shared" si="0"/>
        <v>REG_FCY_SSM_CODESCE_Agreement</v>
      </c>
      <c r="C66" s="46">
        <v>0.1</v>
      </c>
      <c r="D66" s="17" t="s">
        <v>188</v>
      </c>
      <c r="E66" s="17" t="s">
        <v>64</v>
      </c>
      <c r="F66" s="17" t="s">
        <v>14</v>
      </c>
      <c r="G66" s="17" t="s">
        <v>192</v>
      </c>
      <c r="H66" s="17" t="s">
        <v>189</v>
      </c>
      <c r="I66" s="46" t="s">
        <v>114</v>
      </c>
      <c r="J66" s="46" t="s">
        <v>115</v>
      </c>
      <c r="K66" s="46" t="s">
        <v>115</v>
      </c>
      <c r="L66" s="46" t="s">
        <v>116</v>
      </c>
    </row>
    <row r="67" spans="1:12" x14ac:dyDescent="0.35">
      <c r="A67" s="25"/>
      <c r="B67" s="68" t="str">
        <f t="shared" ref="B67:B130" si="1">CONCATENATE(D67,E67)</f>
        <v>REG_FCY_BUS_REF_DTSSCE_Agreement</v>
      </c>
      <c r="C67" s="46">
        <v>0.1</v>
      </c>
      <c r="D67" s="17" t="s">
        <v>190</v>
      </c>
      <c r="E67" s="17" t="s">
        <v>64</v>
      </c>
      <c r="F67" s="17" t="s">
        <v>16</v>
      </c>
      <c r="G67" s="17" t="s">
        <v>192</v>
      </c>
      <c r="H67" s="17" t="s">
        <v>191</v>
      </c>
      <c r="I67" s="46" t="s">
        <v>114</v>
      </c>
      <c r="J67" s="46" t="s">
        <v>115</v>
      </c>
      <c r="K67" s="46" t="s">
        <v>115</v>
      </c>
      <c r="L67" s="46" t="s">
        <v>116</v>
      </c>
    </row>
    <row r="68" spans="1:12" x14ac:dyDescent="0.35">
      <c r="A68" s="25"/>
      <c r="B68" s="68" t="str">
        <f t="shared" si="1"/>
        <v>SCE_AGRM_BUS_REF_DTS_ORIGSCE_Agreement</v>
      </c>
      <c r="C68" s="46">
        <v>0.1</v>
      </c>
      <c r="D68" s="17" t="s">
        <v>213</v>
      </c>
      <c r="E68" s="17" t="s">
        <v>64</v>
      </c>
      <c r="F68" s="17" t="s">
        <v>16</v>
      </c>
      <c r="G68" s="56"/>
      <c r="H68" s="17" t="s">
        <v>132</v>
      </c>
      <c r="I68" s="46" t="s">
        <v>133</v>
      </c>
      <c r="J68" s="46" t="s">
        <v>115</v>
      </c>
      <c r="K68" s="46" t="s">
        <v>115</v>
      </c>
      <c r="L68" s="46" t="s">
        <v>116</v>
      </c>
    </row>
    <row r="69" spans="1:12" x14ac:dyDescent="0.35">
      <c r="A69" s="25"/>
      <c r="B69" s="68" t="str">
        <f t="shared" si="1"/>
        <v>SCE_AGRM_NO_ORIGSCE_Agreement</v>
      </c>
      <c r="C69" s="46">
        <v>0.1</v>
      </c>
      <c r="D69" s="17" t="s">
        <v>214</v>
      </c>
      <c r="E69" s="17" t="s">
        <v>64</v>
      </c>
      <c r="F69" s="17" t="s">
        <v>10</v>
      </c>
      <c r="G69" s="56"/>
      <c r="H69" s="17" t="s">
        <v>132</v>
      </c>
      <c r="I69" s="46" t="s">
        <v>133</v>
      </c>
      <c r="J69" s="46" t="s">
        <v>115</v>
      </c>
      <c r="K69" s="46" t="s">
        <v>115</v>
      </c>
      <c r="L69" s="46" t="s">
        <v>116</v>
      </c>
    </row>
    <row r="70" spans="1:12" x14ac:dyDescent="0.35">
      <c r="A70" s="25"/>
      <c r="B70" s="68" t="str">
        <f t="shared" si="1"/>
        <v>SCE_AGRM_SSM_CODE_ORIGSCE_Agreement</v>
      </c>
      <c r="C70" s="46">
        <v>0.1</v>
      </c>
      <c r="D70" s="17" t="s">
        <v>215</v>
      </c>
      <c r="E70" s="17" t="s">
        <v>64</v>
      </c>
      <c r="F70" s="17" t="s">
        <v>14</v>
      </c>
      <c r="G70" s="56"/>
      <c r="H70" s="17" t="s">
        <v>132</v>
      </c>
      <c r="I70" s="46" t="s">
        <v>133</v>
      </c>
      <c r="J70" s="46" t="s">
        <v>115</v>
      </c>
      <c r="K70" s="46" t="s">
        <v>115</v>
      </c>
      <c r="L70" s="46" t="s">
        <v>116</v>
      </c>
    </row>
    <row r="71" spans="1:12" x14ac:dyDescent="0.35">
      <c r="A71" s="25"/>
      <c r="B71" s="68" t="str">
        <f t="shared" si="1"/>
        <v>SCE_AGRM_NML_ESR_AMTSCE_Agreement</v>
      </c>
      <c r="C71" s="46">
        <v>0.1</v>
      </c>
      <c r="D71" s="17" t="s">
        <v>216</v>
      </c>
      <c r="E71" s="17" t="s">
        <v>64</v>
      </c>
      <c r="F71" s="17" t="s">
        <v>217</v>
      </c>
      <c r="G71" s="56"/>
      <c r="H71" s="17" t="s">
        <v>218</v>
      </c>
      <c r="I71" s="46" t="s">
        <v>114</v>
      </c>
      <c r="J71" s="46" t="s">
        <v>115</v>
      </c>
      <c r="K71" s="46" t="s">
        <v>115</v>
      </c>
      <c r="L71" s="46" t="s">
        <v>116</v>
      </c>
    </row>
    <row r="72" spans="1:12" x14ac:dyDescent="0.35">
      <c r="A72" s="25"/>
      <c r="B72" s="68" t="str">
        <f t="shared" si="1"/>
        <v>SCE_AGRM_HEADROOMSCE_Agreement</v>
      </c>
      <c r="C72" s="46">
        <v>0.1</v>
      </c>
      <c r="D72" s="17" t="s">
        <v>219</v>
      </c>
      <c r="E72" s="17" t="s">
        <v>64</v>
      </c>
      <c r="F72" s="17" t="s">
        <v>220</v>
      </c>
      <c r="G72" s="56"/>
      <c r="H72" s="17" t="s">
        <v>221</v>
      </c>
      <c r="I72" s="46" t="s">
        <v>114</v>
      </c>
      <c r="J72" s="46" t="s">
        <v>115</v>
      </c>
      <c r="K72" s="46" t="s">
        <v>115</v>
      </c>
      <c r="L72" s="46" t="s">
        <v>116</v>
      </c>
    </row>
    <row r="73" spans="1:12" x14ac:dyDescent="0.35">
      <c r="A73" s="25"/>
      <c r="B73" s="68" t="str">
        <f t="shared" si="1"/>
        <v>SCE_AGRM_NEW_INFL_FLGSCE_Agreement</v>
      </c>
      <c r="C73" s="46">
        <v>0.1</v>
      </c>
      <c r="D73" s="17" t="s">
        <v>222</v>
      </c>
      <c r="E73" s="17" t="s">
        <v>64</v>
      </c>
      <c r="F73" s="17" t="s">
        <v>65</v>
      </c>
      <c r="G73" s="56"/>
      <c r="H73" s="17" t="s">
        <v>132</v>
      </c>
      <c r="I73" s="46" t="s">
        <v>133</v>
      </c>
      <c r="J73" s="46" t="s">
        <v>115</v>
      </c>
      <c r="K73" s="46" t="s">
        <v>115</v>
      </c>
      <c r="L73" s="46" t="s">
        <v>116</v>
      </c>
    </row>
    <row r="74" spans="1:12" x14ac:dyDescent="0.35">
      <c r="A74" s="25"/>
      <c r="B74" s="68" t="str">
        <f t="shared" si="1"/>
        <v>SCE_AGRM_NEW_INFL_PERIODSCE_Agreement</v>
      </c>
      <c r="C74" s="46">
        <v>0.1</v>
      </c>
      <c r="D74" s="17" t="s">
        <v>223</v>
      </c>
      <c r="E74" s="17" t="s">
        <v>64</v>
      </c>
      <c r="F74" s="17" t="s">
        <v>27</v>
      </c>
      <c r="G74" s="56"/>
      <c r="H74" s="17" t="s">
        <v>132</v>
      </c>
      <c r="I74" s="46" t="s">
        <v>133</v>
      </c>
      <c r="J74" s="46" t="s">
        <v>115</v>
      </c>
      <c r="K74" s="46" t="s">
        <v>115</v>
      </c>
      <c r="L74" s="46" t="s">
        <v>116</v>
      </c>
    </row>
    <row r="75" spans="1:12" x14ac:dyDescent="0.35">
      <c r="A75" s="25"/>
      <c r="B75" s="68" t="str">
        <f t="shared" si="1"/>
        <v>SCE_AGRM_DEPTSCE_Agreement</v>
      </c>
      <c r="C75" s="46">
        <v>0.1</v>
      </c>
      <c r="D75" s="17" t="s">
        <v>224</v>
      </c>
      <c r="E75" s="17" t="s">
        <v>64</v>
      </c>
      <c r="F75" s="17" t="s">
        <v>10</v>
      </c>
      <c r="G75" s="56"/>
      <c r="H75" s="17"/>
      <c r="I75" s="46" t="s">
        <v>114</v>
      </c>
      <c r="J75" s="46" t="s">
        <v>115</v>
      </c>
      <c r="K75" s="46" t="s">
        <v>115</v>
      </c>
      <c r="L75" s="46" t="s">
        <v>114</v>
      </c>
    </row>
    <row r="76" spans="1:12" x14ac:dyDescent="0.35">
      <c r="A76" s="25"/>
      <c r="B76" s="68" t="str">
        <f t="shared" si="1"/>
        <v>SCE_AGRM_NO_MAP_ORIGSCE_Agreement</v>
      </c>
      <c r="C76" s="46">
        <v>0.1</v>
      </c>
      <c r="D76" s="56" t="s">
        <v>225</v>
      </c>
      <c r="E76" s="57" t="s">
        <v>64</v>
      </c>
      <c r="F76" s="57" t="s">
        <v>10</v>
      </c>
      <c r="G76" s="56"/>
      <c r="H76" s="17" t="s">
        <v>132</v>
      </c>
      <c r="I76" s="46" t="s">
        <v>133</v>
      </c>
      <c r="J76" s="46" t="s">
        <v>115</v>
      </c>
      <c r="K76" s="46" t="s">
        <v>115</v>
      </c>
      <c r="L76" s="46" t="s">
        <v>116</v>
      </c>
    </row>
    <row r="77" spans="1:12" x14ac:dyDescent="0.35">
      <c r="A77" s="25"/>
      <c r="B77" s="68" t="str">
        <f t="shared" si="1"/>
        <v>SCE_AGRM_SSM_CODE_MAP_ORIGSCE_Agreement</v>
      </c>
      <c r="C77" s="46">
        <v>0.1</v>
      </c>
      <c r="D77" s="56" t="s">
        <v>226</v>
      </c>
      <c r="E77" s="57" t="s">
        <v>64</v>
      </c>
      <c r="F77" s="57" t="s">
        <v>14</v>
      </c>
      <c r="G77" s="56"/>
      <c r="H77" s="17" t="s">
        <v>132</v>
      </c>
      <c r="I77" s="46" t="s">
        <v>133</v>
      </c>
      <c r="J77" s="46" t="s">
        <v>115</v>
      </c>
      <c r="K77" s="46" t="s">
        <v>115</v>
      </c>
      <c r="L77" s="46" t="s">
        <v>116</v>
      </c>
    </row>
    <row r="78" spans="1:12" x14ac:dyDescent="0.35">
      <c r="A78" s="25"/>
      <c r="B78" s="68" t="str">
        <f t="shared" si="1"/>
        <v>SCE_AGRM_BUS_REF_DTS_MAP_ORIGSCE_Agreement</v>
      </c>
      <c r="C78" s="46">
        <v>0.1</v>
      </c>
      <c r="D78" s="70" t="s">
        <v>227</v>
      </c>
      <c r="E78" s="57" t="s">
        <v>64</v>
      </c>
      <c r="F78" s="57" t="s">
        <v>16</v>
      </c>
      <c r="G78" s="56"/>
      <c r="H78" s="17" t="s">
        <v>132</v>
      </c>
      <c r="I78" s="46" t="s">
        <v>133</v>
      </c>
      <c r="J78" s="46" t="s">
        <v>115</v>
      </c>
      <c r="K78" s="46" t="s">
        <v>115</v>
      </c>
      <c r="L78" s="46" t="s">
        <v>116</v>
      </c>
    </row>
    <row r="79" spans="1:12" x14ac:dyDescent="0.35">
      <c r="A79" s="25"/>
      <c r="B79" s="68" t="str">
        <f t="shared" si="1"/>
        <v>SCE_AGRM_TP_CODESCE_Agreement</v>
      </c>
      <c r="C79" s="46">
        <v>0.1</v>
      </c>
      <c r="D79" s="57" t="s">
        <v>228</v>
      </c>
      <c r="E79" s="57" t="s">
        <v>64</v>
      </c>
      <c r="F79" s="57" t="s">
        <v>14</v>
      </c>
      <c r="G79" s="56"/>
      <c r="H79" s="17" t="s">
        <v>229</v>
      </c>
      <c r="I79" s="46" t="s">
        <v>114</v>
      </c>
      <c r="J79" s="46" t="s">
        <v>115</v>
      </c>
      <c r="K79" s="46" t="s">
        <v>115</v>
      </c>
      <c r="L79" s="46" t="s">
        <v>114</v>
      </c>
    </row>
    <row r="80" spans="1:12" x14ac:dyDescent="0.35">
      <c r="A80" s="25"/>
      <c r="B80" s="68" t="str">
        <f t="shared" si="1"/>
        <v>SCE_AGRM_SPF_PRVNS_AMTSCE_Agreement</v>
      </c>
      <c r="C80" s="46">
        <v>0.1</v>
      </c>
      <c r="D80" s="57" t="s">
        <v>230</v>
      </c>
      <c r="E80" s="57" t="s">
        <v>64</v>
      </c>
      <c r="F80" s="57" t="s">
        <v>25</v>
      </c>
      <c r="G80" s="56"/>
      <c r="H80" s="17"/>
      <c r="I80" s="46" t="s">
        <v>114</v>
      </c>
      <c r="J80" s="46" t="s">
        <v>115</v>
      </c>
      <c r="K80" s="46" t="s">
        <v>115</v>
      </c>
      <c r="L80" s="46" t="s">
        <v>231</v>
      </c>
    </row>
    <row r="81" spans="1:12" x14ac:dyDescent="0.35">
      <c r="A81" s="25"/>
      <c r="B81" s="68" t="str">
        <f t="shared" si="1"/>
        <v>SCE_AGRM_REGULATORY_APPROACH_USEDSCE_Agreement</v>
      </c>
      <c r="C81" s="46">
        <v>0.1</v>
      </c>
      <c r="D81" s="56" t="s">
        <v>232</v>
      </c>
      <c r="E81" s="57" t="s">
        <v>64</v>
      </c>
      <c r="F81" s="57" t="s">
        <v>10</v>
      </c>
      <c r="G81" s="56"/>
      <c r="H81" s="17" t="s">
        <v>233</v>
      </c>
      <c r="I81" s="46" t="s">
        <v>114</v>
      </c>
      <c r="J81" s="46" t="s">
        <v>115</v>
      </c>
      <c r="K81" s="46" t="s">
        <v>115</v>
      </c>
      <c r="L81" s="46" t="s">
        <v>114</v>
      </c>
    </row>
    <row r="82" spans="1:12" x14ac:dyDescent="0.35">
      <c r="A82" s="25"/>
      <c r="B82" s="68" t="str">
        <f t="shared" si="1"/>
        <v>SCE_AGRM_NOM_INT_PCTSCE_Agreement</v>
      </c>
      <c r="C82" s="46">
        <v>0.1</v>
      </c>
      <c r="D82" s="17" t="s">
        <v>234</v>
      </c>
      <c r="E82" s="17" t="s">
        <v>64</v>
      </c>
      <c r="F82" s="17" t="s">
        <v>235</v>
      </c>
      <c r="G82" s="56"/>
      <c r="H82" s="17" t="s">
        <v>236</v>
      </c>
      <c r="I82" s="46" t="s">
        <v>114</v>
      </c>
      <c r="J82" s="46"/>
      <c r="K82" s="46"/>
      <c r="L82" s="46" t="s">
        <v>114</v>
      </c>
    </row>
    <row r="83" spans="1:12" x14ac:dyDescent="0.35">
      <c r="A83" s="25"/>
      <c r="B83" s="68" t="str">
        <f t="shared" si="1"/>
        <v>SCE_PD_NOSCE_Product</v>
      </c>
      <c r="C83" s="46">
        <v>0.1</v>
      </c>
      <c r="D83" s="17" t="s">
        <v>237</v>
      </c>
      <c r="E83" s="17" t="s">
        <v>72</v>
      </c>
      <c r="F83" s="17" t="s">
        <v>10</v>
      </c>
      <c r="G83" s="17" t="s">
        <v>4</v>
      </c>
      <c r="H83" s="17" t="s">
        <v>238</v>
      </c>
      <c r="I83" s="46" t="s">
        <v>114</v>
      </c>
      <c r="J83" s="46" t="s">
        <v>115</v>
      </c>
      <c r="K83" s="46" t="s">
        <v>115</v>
      </c>
      <c r="L83" s="46" t="s">
        <v>116</v>
      </c>
    </row>
    <row r="84" spans="1:12" x14ac:dyDescent="0.35">
      <c r="A84" s="25"/>
      <c r="B84" s="68" t="str">
        <f t="shared" si="1"/>
        <v>SCE_PD_SSM_CODESCE_Product</v>
      </c>
      <c r="C84" s="46">
        <v>0.1</v>
      </c>
      <c r="D84" s="17" t="s">
        <v>239</v>
      </c>
      <c r="E84" s="17" t="s">
        <v>72</v>
      </c>
      <c r="F84" s="17" t="s">
        <v>14</v>
      </c>
      <c r="G84" s="17" t="s">
        <v>4</v>
      </c>
      <c r="H84" s="17" t="s">
        <v>240</v>
      </c>
      <c r="I84" s="46" t="s">
        <v>114</v>
      </c>
      <c r="J84" s="46" t="s">
        <v>115</v>
      </c>
      <c r="K84" s="46" t="s">
        <v>115</v>
      </c>
      <c r="L84" s="46" t="s">
        <v>116</v>
      </c>
    </row>
    <row r="85" spans="1:12" x14ac:dyDescent="0.35">
      <c r="A85" s="25"/>
      <c r="B85" s="68" t="str">
        <f t="shared" si="1"/>
        <v>SCE_PD_BUS_REF_DTSSCE_Product</v>
      </c>
      <c r="C85" s="46">
        <v>0.1</v>
      </c>
      <c r="D85" s="17" t="s">
        <v>241</v>
      </c>
      <c r="E85" s="17" t="s">
        <v>72</v>
      </c>
      <c r="F85" s="17" t="s">
        <v>16</v>
      </c>
      <c r="G85" s="17" t="s">
        <v>4</v>
      </c>
      <c r="H85" s="17" t="s">
        <v>242</v>
      </c>
      <c r="I85" s="46" t="s">
        <v>114</v>
      </c>
      <c r="J85" s="46" t="s">
        <v>115</v>
      </c>
      <c r="K85" s="46" t="s">
        <v>115</v>
      </c>
      <c r="L85" s="46" t="s">
        <v>116</v>
      </c>
    </row>
    <row r="86" spans="1:12" x14ac:dyDescent="0.35">
      <c r="A86" s="25"/>
      <c r="B86" s="68" t="str">
        <f t="shared" si="1"/>
        <v>SCE_AGRM_NOSCE_Product</v>
      </c>
      <c r="C86" s="46">
        <v>0.1</v>
      </c>
      <c r="D86" s="17" t="s">
        <v>203</v>
      </c>
      <c r="E86" s="17" t="s">
        <v>72</v>
      </c>
      <c r="F86" s="17" t="s">
        <v>10</v>
      </c>
      <c r="G86" s="17" t="s">
        <v>192</v>
      </c>
      <c r="H86" s="17" t="s">
        <v>204</v>
      </c>
      <c r="I86" s="46" t="s">
        <v>114</v>
      </c>
      <c r="J86" s="46" t="s">
        <v>115</v>
      </c>
      <c r="K86" s="46" t="s">
        <v>115</v>
      </c>
      <c r="L86" s="46" t="s">
        <v>116</v>
      </c>
    </row>
    <row r="87" spans="1:12" x14ac:dyDescent="0.35">
      <c r="A87" s="25"/>
      <c r="B87" s="68" t="str">
        <f t="shared" si="1"/>
        <v>SCE_AGRM_SSM_CODESCE_Product</v>
      </c>
      <c r="C87" s="46">
        <v>0.1</v>
      </c>
      <c r="D87" s="17" t="s">
        <v>205</v>
      </c>
      <c r="E87" s="17" t="s">
        <v>72</v>
      </c>
      <c r="F87" s="17" t="s">
        <v>14</v>
      </c>
      <c r="G87" s="17" t="s">
        <v>192</v>
      </c>
      <c r="H87" s="17" t="s">
        <v>206</v>
      </c>
      <c r="I87" s="46" t="s">
        <v>114</v>
      </c>
      <c r="J87" s="46" t="s">
        <v>115</v>
      </c>
      <c r="K87" s="46" t="s">
        <v>115</v>
      </c>
      <c r="L87" s="46" t="s">
        <v>116</v>
      </c>
    </row>
    <row r="88" spans="1:12" x14ac:dyDescent="0.35">
      <c r="A88" s="25"/>
      <c r="B88" s="68" t="str">
        <f t="shared" si="1"/>
        <v>SCE_AGRM_BUS_REF_DTSSCE_Product</v>
      </c>
      <c r="C88" s="46">
        <v>0.1</v>
      </c>
      <c r="D88" s="17" t="s">
        <v>207</v>
      </c>
      <c r="E88" s="17" t="s">
        <v>72</v>
      </c>
      <c r="F88" s="17" t="s">
        <v>16</v>
      </c>
      <c r="G88" s="17" t="s">
        <v>192</v>
      </c>
      <c r="H88" s="17" t="s">
        <v>208</v>
      </c>
      <c r="I88" s="46" t="s">
        <v>114</v>
      </c>
      <c r="J88" s="46" t="s">
        <v>115</v>
      </c>
      <c r="K88" s="46" t="s">
        <v>115</v>
      </c>
      <c r="L88" s="46" t="s">
        <v>116</v>
      </c>
    </row>
    <row r="89" spans="1:12" x14ac:dyDescent="0.35">
      <c r="A89" s="25"/>
      <c r="B89" s="68" t="str">
        <f t="shared" si="1"/>
        <v>SCE_PD_OTSND_AMTSCE_Product</v>
      </c>
      <c r="C89" s="46">
        <v>0.1</v>
      </c>
      <c r="D89" s="17" t="s">
        <v>243</v>
      </c>
      <c r="E89" s="17" t="s">
        <v>72</v>
      </c>
      <c r="F89" s="17" t="s">
        <v>220</v>
      </c>
      <c r="G89" s="56"/>
      <c r="H89" s="17" t="s">
        <v>244</v>
      </c>
      <c r="I89" s="46" t="s">
        <v>114</v>
      </c>
      <c r="J89" s="46" t="s">
        <v>115</v>
      </c>
      <c r="K89" s="46" t="s">
        <v>115</v>
      </c>
      <c r="L89" s="46" t="s">
        <v>116</v>
      </c>
    </row>
    <row r="90" spans="1:12" x14ac:dyDescent="0.35">
      <c r="A90" s="25"/>
      <c r="B90" s="68" t="str">
        <f t="shared" si="1"/>
        <v>SCE_PD_EXP_DTSCE_Product</v>
      </c>
      <c r="C90" s="46">
        <v>0.1</v>
      </c>
      <c r="D90" s="17" t="s">
        <v>245</v>
      </c>
      <c r="E90" s="17" t="s">
        <v>72</v>
      </c>
      <c r="F90" s="17" t="s">
        <v>33</v>
      </c>
      <c r="G90" s="56"/>
      <c r="H90" s="17" t="s">
        <v>246</v>
      </c>
      <c r="I90" s="46" t="s">
        <v>114</v>
      </c>
      <c r="J90" s="46" t="s">
        <v>115</v>
      </c>
      <c r="K90" s="46" t="s">
        <v>115</v>
      </c>
      <c r="L90" s="46" t="s">
        <v>116</v>
      </c>
    </row>
    <row r="91" spans="1:12" x14ac:dyDescent="0.35">
      <c r="A91" s="25"/>
      <c r="B91" s="68" t="str">
        <f t="shared" si="1"/>
        <v>SCE_PD_ORIG_DTSCE_Product</v>
      </c>
      <c r="C91" s="46">
        <v>0.1</v>
      </c>
      <c r="D91" s="17" t="s">
        <v>247</v>
      </c>
      <c r="E91" s="17" t="s">
        <v>72</v>
      </c>
      <c r="F91" s="17" t="s">
        <v>33</v>
      </c>
      <c r="G91" s="56"/>
      <c r="H91" s="17" t="s">
        <v>248</v>
      </c>
      <c r="I91" s="46" t="s">
        <v>114</v>
      </c>
      <c r="J91" s="46" t="s">
        <v>115</v>
      </c>
      <c r="K91" s="46" t="s">
        <v>115</v>
      </c>
      <c r="L91" s="46" t="s">
        <v>116</v>
      </c>
    </row>
    <row r="92" spans="1:12" x14ac:dyDescent="0.35">
      <c r="A92" s="25"/>
      <c r="B92" s="68" t="str">
        <f t="shared" si="1"/>
        <v>REPORTING_ENTITY_IDSCE_Product</v>
      </c>
      <c r="C92" s="46">
        <v>0.1</v>
      </c>
      <c r="D92" s="17" t="s">
        <v>249</v>
      </c>
      <c r="E92" s="17" t="s">
        <v>72</v>
      </c>
      <c r="F92" s="17" t="s">
        <v>27</v>
      </c>
      <c r="G92" s="56"/>
      <c r="H92" s="17" t="s">
        <v>250</v>
      </c>
      <c r="I92" s="46" t="s">
        <v>114</v>
      </c>
      <c r="J92" s="46" t="s">
        <v>115</v>
      </c>
      <c r="K92" s="46" t="s">
        <v>115</v>
      </c>
      <c r="L92" s="46" t="s">
        <v>114</v>
      </c>
    </row>
    <row r="93" spans="1:12" x14ac:dyDescent="0.35">
      <c r="A93" s="25"/>
      <c r="B93" s="68" t="str">
        <f t="shared" si="1"/>
        <v>SCE_PD_NOM_INT_PCTSCE_Product</v>
      </c>
      <c r="C93" s="46">
        <v>0.1</v>
      </c>
      <c r="D93" s="17" t="s">
        <v>251</v>
      </c>
      <c r="E93" s="17" t="s">
        <v>72</v>
      </c>
      <c r="F93" s="17" t="s">
        <v>235</v>
      </c>
      <c r="G93" s="56"/>
      <c r="H93" s="17" t="s">
        <v>252</v>
      </c>
      <c r="I93" s="46" t="s">
        <v>114</v>
      </c>
      <c r="J93" s="46" t="s">
        <v>115</v>
      </c>
      <c r="K93" s="46" t="s">
        <v>115</v>
      </c>
      <c r="L93" s="46" t="s">
        <v>114</v>
      </c>
    </row>
    <row r="94" spans="1:12" x14ac:dyDescent="0.35">
      <c r="A94" s="25"/>
      <c r="B94" s="68" t="str">
        <f t="shared" si="1"/>
        <v>SCE_PD_TP_CODESCE_Product</v>
      </c>
      <c r="C94" s="46">
        <v>0.1</v>
      </c>
      <c r="D94" s="71" t="s">
        <v>253</v>
      </c>
      <c r="E94" s="17" t="s">
        <v>72</v>
      </c>
      <c r="F94" s="17" t="s">
        <v>14</v>
      </c>
      <c r="G94" s="56"/>
      <c r="H94" s="17" t="s">
        <v>254</v>
      </c>
      <c r="I94" s="46" t="s">
        <v>114</v>
      </c>
      <c r="J94" s="46" t="s">
        <v>115</v>
      </c>
      <c r="K94" s="46" t="s">
        <v>115</v>
      </c>
      <c r="L94" s="46" t="s">
        <v>114</v>
      </c>
    </row>
    <row r="95" spans="1:12" x14ac:dyDescent="0.35">
      <c r="A95" s="25"/>
      <c r="B95" s="68" t="str">
        <f t="shared" si="1"/>
        <v>SCE_PD_NO_ORIGSCE_Product</v>
      </c>
      <c r="C95" s="46">
        <v>0.1</v>
      </c>
      <c r="D95" s="71" t="s">
        <v>255</v>
      </c>
      <c r="E95" s="17" t="s">
        <v>72</v>
      </c>
      <c r="F95" s="17" t="s">
        <v>10</v>
      </c>
      <c r="G95" s="56"/>
      <c r="H95" s="17" t="s">
        <v>132</v>
      </c>
      <c r="I95" s="46" t="s">
        <v>133</v>
      </c>
      <c r="J95" s="46" t="s">
        <v>115</v>
      </c>
      <c r="K95" s="46" t="s">
        <v>115</v>
      </c>
      <c r="L95" s="46" t="s">
        <v>116</v>
      </c>
    </row>
    <row r="96" spans="1:12" x14ac:dyDescent="0.35">
      <c r="A96" s="25"/>
      <c r="B96" s="68" t="str">
        <f t="shared" si="1"/>
        <v>SCE_PD_SSM_CODE_ORIGSCE_Product</v>
      </c>
      <c r="C96" s="46">
        <v>0.1</v>
      </c>
      <c r="D96" s="71" t="s">
        <v>256</v>
      </c>
      <c r="E96" s="17" t="s">
        <v>72</v>
      </c>
      <c r="F96" s="17" t="s">
        <v>14</v>
      </c>
      <c r="G96" s="56"/>
      <c r="H96" s="17" t="s">
        <v>132</v>
      </c>
      <c r="I96" s="46" t="s">
        <v>133</v>
      </c>
      <c r="J96" s="46" t="s">
        <v>115</v>
      </c>
      <c r="K96" s="46" t="s">
        <v>115</v>
      </c>
      <c r="L96" s="46" t="s">
        <v>116</v>
      </c>
    </row>
    <row r="97" spans="1:12" x14ac:dyDescent="0.35">
      <c r="A97" s="25"/>
      <c r="B97" s="68" t="str">
        <f t="shared" si="1"/>
        <v>SCE_PD_BUS_REF_DTS_ORIGSCE_Product</v>
      </c>
      <c r="C97" s="46">
        <v>0.1</v>
      </c>
      <c r="D97" s="71" t="s">
        <v>257</v>
      </c>
      <c r="E97" s="17" t="s">
        <v>72</v>
      </c>
      <c r="F97" s="17" t="s">
        <v>16</v>
      </c>
      <c r="G97" s="56"/>
      <c r="H97" s="17" t="s">
        <v>132</v>
      </c>
      <c r="I97" s="46" t="s">
        <v>133</v>
      </c>
      <c r="J97" s="46" t="s">
        <v>115</v>
      </c>
      <c r="K97" s="46" t="s">
        <v>115</v>
      </c>
      <c r="L97" s="46" t="s">
        <v>116</v>
      </c>
    </row>
    <row r="98" spans="1:12" x14ac:dyDescent="0.35">
      <c r="A98" s="25"/>
      <c r="B98" s="68" t="str">
        <f t="shared" si="1"/>
        <v>SCE_PD_SPF_PRVNS_AMTSCE_Product</v>
      </c>
      <c r="C98" s="46">
        <v>0.1</v>
      </c>
      <c r="D98" s="17" t="s">
        <v>258</v>
      </c>
      <c r="E98" s="17" t="s">
        <v>72</v>
      </c>
      <c r="F98" s="17" t="s">
        <v>25</v>
      </c>
      <c r="G98" s="56"/>
      <c r="H98" s="17" t="s">
        <v>259</v>
      </c>
      <c r="I98" s="46" t="s">
        <v>114</v>
      </c>
      <c r="J98" s="46" t="s">
        <v>115</v>
      </c>
      <c r="K98" s="46" t="s">
        <v>115</v>
      </c>
      <c r="L98" s="46" t="s">
        <v>231</v>
      </c>
    </row>
    <row r="99" spans="1:12" x14ac:dyDescent="0.35">
      <c r="A99" s="25"/>
      <c r="B99" s="68" t="str">
        <f t="shared" si="1"/>
        <v>SCE_PD_NEW_INFL_FLGSCE_Product</v>
      </c>
      <c r="C99" s="46">
        <v>0.1</v>
      </c>
      <c r="D99" s="17" t="s">
        <v>260</v>
      </c>
      <c r="E99" s="17" t="s">
        <v>72</v>
      </c>
      <c r="F99" s="17" t="s">
        <v>65</v>
      </c>
      <c r="G99" s="56"/>
      <c r="H99" s="17" t="s">
        <v>132</v>
      </c>
      <c r="I99" s="46" t="s">
        <v>133</v>
      </c>
      <c r="J99" s="46" t="s">
        <v>115</v>
      </c>
      <c r="K99" s="46" t="s">
        <v>115</v>
      </c>
      <c r="L99" s="46" t="s">
        <v>116</v>
      </c>
    </row>
    <row r="100" spans="1:12" x14ac:dyDescent="0.35">
      <c r="A100" s="25"/>
      <c r="B100" s="68" t="str">
        <f t="shared" si="1"/>
        <v>SCE_PD_NEW_INFL_PERIODSCE_Product</v>
      </c>
      <c r="C100" s="46">
        <v>0.1</v>
      </c>
      <c r="D100" s="17" t="s">
        <v>261</v>
      </c>
      <c r="E100" s="17" t="s">
        <v>72</v>
      </c>
      <c r="F100" s="17" t="s">
        <v>27</v>
      </c>
      <c r="G100" s="56"/>
      <c r="H100" s="17" t="s">
        <v>132</v>
      </c>
      <c r="I100" s="46" t="s">
        <v>133</v>
      </c>
      <c r="J100" s="46" t="s">
        <v>115</v>
      </c>
      <c r="K100" s="46" t="s">
        <v>115</v>
      </c>
      <c r="L100" s="46" t="s">
        <v>116</v>
      </c>
    </row>
    <row r="101" spans="1:12" x14ac:dyDescent="0.35">
      <c r="A101" s="25"/>
      <c r="B101" s="68" t="str">
        <f t="shared" si="1"/>
        <v>SCE_PD_NEW_INFL_TYPSCE_Product</v>
      </c>
      <c r="C101" s="46">
        <v>0.1</v>
      </c>
      <c r="D101" s="17" t="s">
        <v>262</v>
      </c>
      <c r="E101" s="17" t="s">
        <v>72</v>
      </c>
      <c r="F101" s="17" t="s">
        <v>65</v>
      </c>
      <c r="G101" s="56"/>
      <c r="H101" s="17" t="s">
        <v>132</v>
      </c>
      <c r="I101" s="46" t="s">
        <v>133</v>
      </c>
      <c r="J101" s="46" t="s">
        <v>115</v>
      </c>
      <c r="K101" s="46" t="s">
        <v>115</v>
      </c>
      <c r="L101" s="46" t="s">
        <v>116</v>
      </c>
    </row>
    <row r="102" spans="1:12" x14ac:dyDescent="0.35">
      <c r="A102" s="25"/>
      <c r="B102" s="68" t="str">
        <f t="shared" si="1"/>
        <v>SCE_PD_DEPTSCE_Product</v>
      </c>
      <c r="C102" s="46">
        <v>0.1</v>
      </c>
      <c r="D102" s="17" t="s">
        <v>263</v>
      </c>
      <c r="E102" s="17" t="s">
        <v>72</v>
      </c>
      <c r="F102" s="17" t="s">
        <v>10</v>
      </c>
      <c r="G102" s="56"/>
      <c r="H102" s="17"/>
      <c r="I102" s="46" t="s">
        <v>114</v>
      </c>
      <c r="J102" s="46" t="s">
        <v>115</v>
      </c>
      <c r="K102" s="46" t="s">
        <v>115</v>
      </c>
      <c r="L102" s="46" t="s">
        <v>114</v>
      </c>
    </row>
    <row r="103" spans="1:12" x14ac:dyDescent="0.35">
      <c r="A103" s="25"/>
      <c r="B103" s="68" t="str">
        <f t="shared" si="1"/>
        <v>SCE_PD_PART_WRT_OFFS_AMTSCE_Product</v>
      </c>
      <c r="C103" s="17">
        <v>0.1</v>
      </c>
      <c r="D103" s="17" t="s">
        <v>264</v>
      </c>
      <c r="E103" s="17" t="s">
        <v>72</v>
      </c>
      <c r="F103" s="17" t="s">
        <v>217</v>
      </c>
      <c r="G103" s="56"/>
      <c r="H103" s="17" t="s">
        <v>265</v>
      </c>
      <c r="I103" s="46" t="s">
        <v>114</v>
      </c>
      <c r="J103" s="72" t="s">
        <v>115</v>
      </c>
      <c r="K103" s="46" t="s">
        <v>115</v>
      </c>
      <c r="L103" s="46" t="s">
        <v>116</v>
      </c>
    </row>
    <row r="104" spans="1:12" x14ac:dyDescent="0.35">
      <c r="A104" s="25"/>
      <c r="B104" s="68" t="str">
        <f t="shared" si="1"/>
        <v>SCE_PD_STAGE_CURRENT_PERIOD_CODESCE_Product</v>
      </c>
      <c r="C104" s="46">
        <v>0.1</v>
      </c>
      <c r="D104" s="17" t="s">
        <v>266</v>
      </c>
      <c r="E104" s="17" t="s">
        <v>72</v>
      </c>
      <c r="F104" s="17" t="s">
        <v>68</v>
      </c>
      <c r="G104" s="56"/>
      <c r="H104" s="17"/>
      <c r="I104" s="46" t="s">
        <v>114</v>
      </c>
      <c r="J104" s="46" t="s">
        <v>115</v>
      </c>
      <c r="K104" s="46" t="s">
        <v>115</v>
      </c>
      <c r="L104" s="46" t="s">
        <v>114</v>
      </c>
    </row>
    <row r="105" spans="1:12" x14ac:dyDescent="0.35">
      <c r="A105" s="25"/>
      <c r="B105" s="68" t="str">
        <f t="shared" si="1"/>
        <v>SCE_PD_COREP_EXP_TP_CODESCE_Product</v>
      </c>
      <c r="C105" s="46">
        <v>0.1</v>
      </c>
      <c r="D105" s="17" t="s">
        <v>267</v>
      </c>
      <c r="E105" s="17" t="s">
        <v>72</v>
      </c>
      <c r="F105" s="22" t="s">
        <v>14</v>
      </c>
      <c r="G105" s="56"/>
      <c r="H105" s="17" t="s">
        <v>268</v>
      </c>
      <c r="I105" s="46" t="s">
        <v>114</v>
      </c>
      <c r="J105" s="46" t="s">
        <v>115</v>
      </c>
      <c r="K105" s="46" t="s">
        <v>115</v>
      </c>
      <c r="L105" s="46" t="s">
        <v>114</v>
      </c>
    </row>
    <row r="106" spans="1:12" x14ac:dyDescent="0.35">
      <c r="A106" s="25"/>
      <c r="B106" s="68" t="str">
        <f t="shared" si="1"/>
        <v>SCE_PD_NO_MAP_ORIGSCE_Product</v>
      </c>
      <c r="C106" s="46">
        <v>0.1</v>
      </c>
      <c r="D106" s="17" t="s">
        <v>269</v>
      </c>
      <c r="E106" s="17" t="s">
        <v>72</v>
      </c>
      <c r="F106" s="17" t="s">
        <v>10</v>
      </c>
      <c r="G106" s="56"/>
      <c r="H106" s="17" t="s">
        <v>132</v>
      </c>
      <c r="I106" s="46" t="s">
        <v>133</v>
      </c>
      <c r="J106" s="46" t="s">
        <v>115</v>
      </c>
      <c r="K106" s="46" t="s">
        <v>115</v>
      </c>
      <c r="L106" s="46" t="s">
        <v>116</v>
      </c>
    </row>
    <row r="107" spans="1:12" x14ac:dyDescent="0.35">
      <c r="A107" s="25"/>
      <c r="B107" s="68" t="str">
        <f t="shared" si="1"/>
        <v>SCE_PD_SSM_CODE_MAP_ORIGSCE_Product</v>
      </c>
      <c r="C107" s="46">
        <v>0.1</v>
      </c>
      <c r="D107" s="17" t="s">
        <v>270</v>
      </c>
      <c r="E107" s="17" t="s">
        <v>72</v>
      </c>
      <c r="F107" s="17" t="s">
        <v>14</v>
      </c>
      <c r="G107" s="56"/>
      <c r="H107" s="17" t="s">
        <v>132</v>
      </c>
      <c r="I107" s="46" t="s">
        <v>133</v>
      </c>
      <c r="J107" s="46" t="s">
        <v>115</v>
      </c>
      <c r="K107" s="46" t="s">
        <v>115</v>
      </c>
      <c r="L107" s="46" t="s">
        <v>116</v>
      </c>
    </row>
    <row r="108" spans="1:12" x14ac:dyDescent="0.35">
      <c r="A108" s="25"/>
      <c r="B108" s="68" t="str">
        <f t="shared" si="1"/>
        <v>SCE_PD_BUS_REF_DTS_MAP_ORIGSCE_Product</v>
      </c>
      <c r="C108" s="46">
        <v>0.1</v>
      </c>
      <c r="D108" s="17" t="s">
        <v>271</v>
      </c>
      <c r="E108" s="17" t="s">
        <v>72</v>
      </c>
      <c r="F108" s="17" t="s">
        <v>16</v>
      </c>
      <c r="G108" s="56"/>
      <c r="H108" s="17" t="s">
        <v>132</v>
      </c>
      <c r="I108" s="46" t="s">
        <v>133</v>
      </c>
      <c r="J108" s="46" t="s">
        <v>115</v>
      </c>
      <c r="K108" s="46" t="s">
        <v>115</v>
      </c>
      <c r="L108" s="46" t="s">
        <v>116</v>
      </c>
    </row>
    <row r="109" spans="1:12" x14ac:dyDescent="0.35">
      <c r="A109" s="25"/>
      <c r="B109" s="68" t="str">
        <f t="shared" si="1"/>
        <v>SCE_PD_REGULATORY_APPROACH_USEDSCE_Product</v>
      </c>
      <c r="C109" s="46">
        <v>0.1</v>
      </c>
      <c r="D109" s="17" t="s">
        <v>272</v>
      </c>
      <c r="E109" s="17" t="s">
        <v>72</v>
      </c>
      <c r="F109" s="17" t="s">
        <v>10</v>
      </c>
      <c r="G109" s="56"/>
      <c r="H109" s="17" t="s">
        <v>273</v>
      </c>
      <c r="I109" s="46" t="s">
        <v>114</v>
      </c>
      <c r="J109" s="46" t="s">
        <v>115</v>
      </c>
      <c r="K109" s="46" t="s">
        <v>115</v>
      </c>
      <c r="L109" s="46" t="s">
        <v>114</v>
      </c>
    </row>
    <row r="110" spans="1:12" x14ac:dyDescent="0.35">
      <c r="A110" s="25"/>
      <c r="B110" s="68" t="str">
        <f t="shared" si="1"/>
        <v>FMR_TRD_BUS_REF_DTSSCE_Product_DER</v>
      </c>
      <c r="C110" s="46">
        <v>0.1</v>
      </c>
      <c r="D110" s="17" t="s">
        <v>274</v>
      </c>
      <c r="E110" s="17" t="s">
        <v>76</v>
      </c>
      <c r="F110" s="17" t="s">
        <v>16</v>
      </c>
      <c r="G110" s="17" t="s">
        <v>4</v>
      </c>
      <c r="H110" s="17" t="s">
        <v>275</v>
      </c>
      <c r="I110" s="46" t="s">
        <v>114</v>
      </c>
      <c r="J110" s="46" t="s">
        <v>115</v>
      </c>
      <c r="K110" s="46" t="s">
        <v>115</v>
      </c>
      <c r="L110" s="46" t="s">
        <v>116</v>
      </c>
    </row>
    <row r="111" spans="1:12" x14ac:dyDescent="0.35">
      <c r="A111" s="25"/>
      <c r="B111" s="68" t="str">
        <f t="shared" si="1"/>
        <v>FMR_TRD_REF_DEAL_IDSCE_Product_DER</v>
      </c>
      <c r="C111" s="46">
        <v>0.1</v>
      </c>
      <c r="D111" s="17" t="s">
        <v>276</v>
      </c>
      <c r="E111" s="17" t="s">
        <v>76</v>
      </c>
      <c r="F111" s="17" t="s">
        <v>18</v>
      </c>
      <c r="G111" s="17" t="s">
        <v>4</v>
      </c>
      <c r="H111" s="17" t="s">
        <v>277</v>
      </c>
      <c r="I111" s="46" t="s">
        <v>114</v>
      </c>
      <c r="J111" s="46" t="s">
        <v>115</v>
      </c>
      <c r="K111" s="46" t="s">
        <v>115</v>
      </c>
      <c r="L111" s="46" t="s">
        <v>116</v>
      </c>
    </row>
    <row r="112" spans="1:12" x14ac:dyDescent="0.35">
      <c r="A112" s="25"/>
      <c r="B112" s="68" t="str">
        <f t="shared" si="1"/>
        <v>FMR_TRD_SSM_CODESCE_Product_DER</v>
      </c>
      <c r="C112" s="46">
        <v>0.1</v>
      </c>
      <c r="D112" s="17" t="s">
        <v>278</v>
      </c>
      <c r="E112" s="17" t="s">
        <v>76</v>
      </c>
      <c r="F112" s="17" t="s">
        <v>279</v>
      </c>
      <c r="G112" s="17" t="s">
        <v>4</v>
      </c>
      <c r="H112" s="17" t="s">
        <v>280</v>
      </c>
      <c r="I112" s="46" t="s">
        <v>114</v>
      </c>
      <c r="J112" s="46" t="s">
        <v>115</v>
      </c>
      <c r="K112" s="46" t="s">
        <v>115</v>
      </c>
      <c r="L112" s="46" t="s">
        <v>116</v>
      </c>
    </row>
    <row r="113" spans="1:12" x14ac:dyDescent="0.35">
      <c r="A113" s="25"/>
      <c r="B113" s="68" t="str">
        <f t="shared" si="1"/>
        <v>FMR_TRD_REG_CPTL_EAD_AMTSCE_Product_DER</v>
      </c>
      <c r="C113" s="46">
        <v>0.1</v>
      </c>
      <c r="D113" s="71" t="s">
        <v>281</v>
      </c>
      <c r="E113" s="17" t="s">
        <v>76</v>
      </c>
      <c r="F113" s="17" t="s">
        <v>217</v>
      </c>
      <c r="G113" s="56"/>
      <c r="H113" s="17" t="s">
        <v>282</v>
      </c>
      <c r="I113" s="46" t="s">
        <v>114</v>
      </c>
      <c r="J113" s="46" t="s">
        <v>168</v>
      </c>
      <c r="K113" s="46" t="s">
        <v>283</v>
      </c>
      <c r="L113" s="46" t="s">
        <v>116</v>
      </c>
    </row>
    <row r="114" spans="1:12" x14ac:dyDescent="0.35">
      <c r="A114" s="25"/>
      <c r="B114" s="68" t="str">
        <f t="shared" si="1"/>
        <v>FMR_TRD_REG_CPTL_EAD_STRS_AMTSCE_Product_DER</v>
      </c>
      <c r="C114" s="46">
        <v>0.1</v>
      </c>
      <c r="D114" s="71" t="s">
        <v>284</v>
      </c>
      <c r="E114" s="17" t="s">
        <v>76</v>
      </c>
      <c r="F114" s="17" t="s">
        <v>217</v>
      </c>
      <c r="G114" s="56"/>
      <c r="H114" s="17" t="s">
        <v>285</v>
      </c>
      <c r="I114" s="46" t="s">
        <v>114</v>
      </c>
      <c r="J114" s="46" t="s">
        <v>168</v>
      </c>
      <c r="K114" s="46" t="s">
        <v>286</v>
      </c>
      <c r="L114" s="46" t="s">
        <v>116</v>
      </c>
    </row>
    <row r="115" spans="1:12" x14ac:dyDescent="0.35">
      <c r="A115" s="25"/>
      <c r="B115" s="68" t="str">
        <f t="shared" si="1"/>
        <v>FMR_TRD_STD_APRC_EAD_AMTSCE_Product_DER</v>
      </c>
      <c r="C115" s="46">
        <v>0.1</v>
      </c>
      <c r="D115" s="17" t="s">
        <v>287</v>
      </c>
      <c r="E115" s="17" t="s">
        <v>76</v>
      </c>
      <c r="F115" s="17" t="s">
        <v>217</v>
      </c>
      <c r="G115" s="56"/>
      <c r="H115" s="17" t="s">
        <v>288</v>
      </c>
      <c r="I115" s="46" t="s">
        <v>114</v>
      </c>
      <c r="J115" s="46" t="s">
        <v>168</v>
      </c>
      <c r="K115" s="46" t="s">
        <v>289</v>
      </c>
      <c r="L115" s="46" t="s">
        <v>116</v>
      </c>
    </row>
    <row r="116" spans="1:12" x14ac:dyDescent="0.35">
      <c r="A116" s="25"/>
      <c r="B116" s="68" t="str">
        <f t="shared" si="1"/>
        <v>SCE_PD_BUS_REF_DTSSCE_Product_DER</v>
      </c>
      <c r="C116" s="46">
        <v>0.1</v>
      </c>
      <c r="D116" s="17" t="s">
        <v>241</v>
      </c>
      <c r="E116" s="17" t="s">
        <v>76</v>
      </c>
      <c r="F116" s="17" t="s">
        <v>16</v>
      </c>
      <c r="G116" s="56"/>
      <c r="H116" s="17" t="s">
        <v>242</v>
      </c>
      <c r="I116" s="46" t="s">
        <v>114</v>
      </c>
      <c r="J116" s="46" t="s">
        <v>115</v>
      </c>
      <c r="K116" s="46" t="s">
        <v>115</v>
      </c>
      <c r="L116" s="46" t="s">
        <v>116</v>
      </c>
    </row>
    <row r="117" spans="1:12" x14ac:dyDescent="0.35">
      <c r="A117" s="25"/>
      <c r="B117" s="68" t="str">
        <f t="shared" si="1"/>
        <v>SCE_PD_NOSCE_Product_DER</v>
      </c>
      <c r="C117" s="46">
        <v>0.1</v>
      </c>
      <c r="D117" s="17" t="s">
        <v>237</v>
      </c>
      <c r="E117" s="17" t="s">
        <v>76</v>
      </c>
      <c r="F117" s="17" t="s">
        <v>10</v>
      </c>
      <c r="G117" s="56"/>
      <c r="H117" s="17" t="s">
        <v>238</v>
      </c>
      <c r="I117" s="46" t="s">
        <v>114</v>
      </c>
      <c r="J117" s="46" t="s">
        <v>115</v>
      </c>
      <c r="K117" s="46" t="s">
        <v>115</v>
      </c>
      <c r="L117" s="46" t="s">
        <v>116</v>
      </c>
    </row>
    <row r="118" spans="1:12" x14ac:dyDescent="0.35">
      <c r="A118" s="25"/>
      <c r="B118" s="68" t="str">
        <f t="shared" si="1"/>
        <v>SCE_PD_SSM_CODESCE_Product_DER</v>
      </c>
      <c r="C118" s="46">
        <v>0.1</v>
      </c>
      <c r="D118" s="17" t="s">
        <v>239</v>
      </c>
      <c r="E118" s="17" t="s">
        <v>76</v>
      </c>
      <c r="F118" s="17" t="s">
        <v>14</v>
      </c>
      <c r="G118" s="56"/>
      <c r="H118" s="17" t="s">
        <v>240</v>
      </c>
      <c r="I118" s="46" t="s">
        <v>114</v>
      </c>
      <c r="J118" s="46" t="s">
        <v>115</v>
      </c>
      <c r="K118" s="46" t="s">
        <v>115</v>
      </c>
      <c r="L118" s="46" t="s">
        <v>116</v>
      </c>
    </row>
    <row r="119" spans="1:12" x14ac:dyDescent="0.35">
      <c r="A119" s="25"/>
      <c r="B119" s="68" t="str">
        <f t="shared" si="1"/>
        <v>FMR_TRD_BUS_REF_DTS_ORIGSCE_Product_DER</v>
      </c>
      <c r="C119" s="46">
        <v>0.1</v>
      </c>
      <c r="D119" s="17" t="s">
        <v>290</v>
      </c>
      <c r="E119" s="17" t="s">
        <v>76</v>
      </c>
      <c r="F119" s="17" t="s">
        <v>16</v>
      </c>
      <c r="G119" s="56"/>
      <c r="H119" s="17" t="s">
        <v>132</v>
      </c>
      <c r="I119" s="46" t="s">
        <v>133</v>
      </c>
      <c r="J119" s="46" t="s">
        <v>115</v>
      </c>
      <c r="K119" s="46" t="s">
        <v>115</v>
      </c>
      <c r="L119" s="46" t="s">
        <v>116</v>
      </c>
    </row>
    <row r="120" spans="1:12" x14ac:dyDescent="0.35">
      <c r="A120" s="25"/>
      <c r="B120" s="68" t="str">
        <f t="shared" si="1"/>
        <v>FMR_TRD_REF_DEAL_ID_ORIGSCE_Product_DER</v>
      </c>
      <c r="C120" s="46">
        <v>0.1</v>
      </c>
      <c r="D120" s="17" t="s">
        <v>291</v>
      </c>
      <c r="E120" s="17" t="s">
        <v>76</v>
      </c>
      <c r="F120" s="17" t="s">
        <v>18</v>
      </c>
      <c r="G120" s="56"/>
      <c r="H120" s="17" t="s">
        <v>132</v>
      </c>
      <c r="I120" s="46" t="s">
        <v>133</v>
      </c>
      <c r="J120" s="46" t="s">
        <v>115</v>
      </c>
      <c r="K120" s="46" t="s">
        <v>115</v>
      </c>
      <c r="L120" s="46" t="s">
        <v>116</v>
      </c>
    </row>
    <row r="121" spans="1:12" x14ac:dyDescent="0.35">
      <c r="A121" s="25"/>
      <c r="B121" s="68" t="str">
        <f t="shared" si="1"/>
        <v>FMR_TRD_SSM_CODE_ORIGSCE_Product_DER</v>
      </c>
      <c r="C121" s="46">
        <v>0.1</v>
      </c>
      <c r="D121" s="17" t="s">
        <v>292</v>
      </c>
      <c r="E121" s="17" t="s">
        <v>76</v>
      </c>
      <c r="F121" s="17" t="s">
        <v>279</v>
      </c>
      <c r="G121" s="56"/>
      <c r="H121" s="17" t="s">
        <v>132</v>
      </c>
      <c r="I121" s="46" t="s">
        <v>133</v>
      </c>
      <c r="J121" s="46" t="s">
        <v>115</v>
      </c>
      <c r="K121" s="46" t="s">
        <v>115</v>
      </c>
      <c r="L121" s="46" t="s">
        <v>116</v>
      </c>
    </row>
    <row r="122" spans="1:12" x14ac:dyDescent="0.35">
      <c r="A122" s="25"/>
      <c r="B122" s="68" t="str">
        <f t="shared" si="1"/>
        <v>FMR_TRD_REF_DEAL_ID_MAP_ORIGSCE_Product_DER</v>
      </c>
      <c r="C122" s="46">
        <v>0.1</v>
      </c>
      <c r="D122" s="17" t="s">
        <v>293</v>
      </c>
      <c r="E122" s="17" t="s">
        <v>76</v>
      </c>
      <c r="F122" s="17" t="s">
        <v>18</v>
      </c>
      <c r="G122" s="56"/>
      <c r="H122" s="17" t="s">
        <v>132</v>
      </c>
      <c r="I122" s="46" t="s">
        <v>133</v>
      </c>
      <c r="J122" s="46" t="s">
        <v>115</v>
      </c>
      <c r="K122" s="46" t="s">
        <v>115</v>
      </c>
      <c r="L122" s="46" t="s">
        <v>116</v>
      </c>
    </row>
    <row r="123" spans="1:12" x14ac:dyDescent="0.35">
      <c r="A123" s="25"/>
      <c r="B123" s="68" t="str">
        <f t="shared" si="1"/>
        <v>FMR_TRD_SSM_CODE_MAP_ORIGSCE_Product_DER</v>
      </c>
      <c r="C123" s="46">
        <v>0.1</v>
      </c>
      <c r="D123" s="17" t="s">
        <v>294</v>
      </c>
      <c r="E123" s="17" t="s">
        <v>76</v>
      </c>
      <c r="F123" s="17" t="s">
        <v>279</v>
      </c>
      <c r="G123" s="56"/>
      <c r="H123" s="17" t="s">
        <v>132</v>
      </c>
      <c r="I123" s="46" t="s">
        <v>133</v>
      </c>
      <c r="J123" s="46" t="s">
        <v>115</v>
      </c>
      <c r="K123" s="46" t="s">
        <v>115</v>
      </c>
      <c r="L123" s="46" t="s">
        <v>116</v>
      </c>
    </row>
    <row r="124" spans="1:12" x14ac:dyDescent="0.35">
      <c r="A124" s="25"/>
      <c r="B124" s="68" t="str">
        <f t="shared" si="1"/>
        <v>FMR_TRD_BUS_REF_DTS_MAP_ORIGSCE_Product_DER</v>
      </c>
      <c r="C124" s="46">
        <v>0.1</v>
      </c>
      <c r="D124" s="17" t="s">
        <v>295</v>
      </c>
      <c r="E124" s="17" t="s">
        <v>76</v>
      </c>
      <c r="F124" s="17" t="s">
        <v>16</v>
      </c>
      <c r="G124" s="56"/>
      <c r="H124" s="17" t="s">
        <v>132</v>
      </c>
      <c r="I124" s="46" t="s">
        <v>133</v>
      </c>
      <c r="J124" s="46" t="s">
        <v>115</v>
      </c>
      <c r="K124" s="46" t="s">
        <v>115</v>
      </c>
      <c r="L124" s="46" t="s">
        <v>116</v>
      </c>
    </row>
    <row r="125" spans="1:12" x14ac:dyDescent="0.35">
      <c r="A125" s="25"/>
      <c r="B125" s="68" t="str">
        <f t="shared" si="1"/>
        <v>SCE_PD_DER_REGULATORY_APPROACH_USEDSCE_Product_DER</v>
      </c>
      <c r="C125" s="46">
        <v>0.1</v>
      </c>
      <c r="D125" s="17" t="s">
        <v>296</v>
      </c>
      <c r="E125" s="17" t="s">
        <v>76</v>
      </c>
      <c r="F125" s="17" t="s">
        <v>10</v>
      </c>
      <c r="G125" s="56"/>
      <c r="H125" s="17"/>
      <c r="I125" s="46" t="s">
        <v>114</v>
      </c>
      <c r="J125" s="46" t="s">
        <v>115</v>
      </c>
      <c r="K125" s="46" t="s">
        <v>115</v>
      </c>
      <c r="L125" s="46" t="s">
        <v>114</v>
      </c>
    </row>
    <row r="126" spans="1:12" x14ac:dyDescent="0.35">
      <c r="A126" s="25"/>
      <c r="B126" s="68" t="str">
        <f t="shared" si="1"/>
        <v>SCE_PD_DER_DEPTSCE_Product_DER</v>
      </c>
      <c r="C126" s="46">
        <v>0.1</v>
      </c>
      <c r="D126" s="17" t="s">
        <v>297</v>
      </c>
      <c r="E126" s="17" t="s">
        <v>76</v>
      </c>
      <c r="F126" s="17" t="s">
        <v>10</v>
      </c>
      <c r="G126" s="56"/>
      <c r="H126" s="17"/>
      <c r="I126" s="46" t="s">
        <v>114</v>
      </c>
      <c r="J126" s="46" t="s">
        <v>115</v>
      </c>
      <c r="K126" s="46" t="s">
        <v>115</v>
      </c>
      <c r="L126" s="46" t="s">
        <v>114</v>
      </c>
    </row>
    <row r="127" spans="1:12" x14ac:dyDescent="0.35">
      <c r="A127" s="25"/>
      <c r="B127" s="68" t="str">
        <f t="shared" si="1"/>
        <v>CLT_AR_BUS_REF_DTSCollateral_Arrangement</v>
      </c>
      <c r="C127" s="46">
        <v>0.1</v>
      </c>
      <c r="D127" s="17" t="s">
        <v>298</v>
      </c>
      <c r="E127" s="17" t="s">
        <v>299</v>
      </c>
      <c r="F127" s="17" t="s">
        <v>16</v>
      </c>
      <c r="G127" s="17" t="s">
        <v>4</v>
      </c>
      <c r="H127" s="17" t="s">
        <v>300</v>
      </c>
      <c r="I127" s="46" t="s">
        <v>114</v>
      </c>
      <c r="J127" s="46"/>
      <c r="K127" s="46"/>
      <c r="L127" s="46" t="s">
        <v>116</v>
      </c>
    </row>
    <row r="128" spans="1:12" x14ac:dyDescent="0.35">
      <c r="A128" s="25"/>
      <c r="B128" s="68" t="str">
        <f t="shared" si="1"/>
        <v>CLT_AR_NOCollateral_Arrangement</v>
      </c>
      <c r="C128" s="46">
        <v>0.1</v>
      </c>
      <c r="D128" s="17" t="s">
        <v>301</v>
      </c>
      <c r="E128" s="17" t="s">
        <v>299</v>
      </c>
      <c r="F128" s="17" t="s">
        <v>302</v>
      </c>
      <c r="G128" s="17" t="s">
        <v>4</v>
      </c>
      <c r="H128" s="17" t="s">
        <v>303</v>
      </c>
      <c r="I128" s="46" t="s">
        <v>114</v>
      </c>
      <c r="J128" s="46"/>
      <c r="K128" s="46"/>
      <c r="L128" s="46" t="s">
        <v>116</v>
      </c>
    </row>
    <row r="129" spans="1:12" x14ac:dyDescent="0.35">
      <c r="A129" s="25"/>
      <c r="B129" s="68" t="str">
        <f t="shared" si="1"/>
        <v>CLT_AR_SSM_CODECollateral_Arrangement</v>
      </c>
      <c r="C129" s="46">
        <v>0.1</v>
      </c>
      <c r="D129" s="17" t="s">
        <v>304</v>
      </c>
      <c r="E129" s="17" t="s">
        <v>299</v>
      </c>
      <c r="F129" s="17" t="s">
        <v>14</v>
      </c>
      <c r="G129" s="17" t="s">
        <v>4</v>
      </c>
      <c r="H129" s="17" t="s">
        <v>305</v>
      </c>
      <c r="I129" s="46" t="s">
        <v>114</v>
      </c>
      <c r="J129" s="46"/>
      <c r="K129" s="46"/>
      <c r="L129" s="46" t="s">
        <v>116</v>
      </c>
    </row>
    <row r="130" spans="1:12" x14ac:dyDescent="0.35">
      <c r="A130" s="25"/>
      <c r="B130" s="68" t="str">
        <f t="shared" si="1"/>
        <v>CLT_AR_NML_VAL_AMTCollateral_Arrangement</v>
      </c>
      <c r="C130" s="46">
        <v>0.1</v>
      </c>
      <c r="D130" s="17" t="s">
        <v>306</v>
      </c>
      <c r="E130" s="17" t="s">
        <v>299</v>
      </c>
      <c r="F130" s="17" t="s">
        <v>220</v>
      </c>
      <c r="G130" s="56"/>
      <c r="H130" s="17" t="s">
        <v>307</v>
      </c>
      <c r="I130" s="46" t="s">
        <v>114</v>
      </c>
      <c r="J130" s="46"/>
      <c r="K130" s="46"/>
      <c r="L130" s="46" t="s">
        <v>116</v>
      </c>
    </row>
    <row r="131" spans="1:12" x14ac:dyDescent="0.35">
      <c r="A131" s="25"/>
      <c r="B131" s="68" t="str">
        <f t="shared" ref="B131:B194" si="2">CONCATENATE(D131,E131)</f>
        <v>CLT_AR_STRT_DTCollateral_Arrangement</v>
      </c>
      <c r="C131" s="46">
        <v>0.1</v>
      </c>
      <c r="D131" s="17" t="s">
        <v>308</v>
      </c>
      <c r="E131" s="17" t="s">
        <v>299</v>
      </c>
      <c r="F131" s="17" t="s">
        <v>33</v>
      </c>
      <c r="G131" s="56"/>
      <c r="H131" s="17" t="s">
        <v>309</v>
      </c>
      <c r="I131" s="46" t="s">
        <v>114</v>
      </c>
      <c r="J131" s="46"/>
      <c r="K131" s="46"/>
      <c r="L131" s="46" t="s">
        <v>116</v>
      </c>
    </row>
    <row r="132" spans="1:12" x14ac:dyDescent="0.35">
      <c r="A132" s="25"/>
      <c r="B132" s="68" t="str">
        <f t="shared" si="2"/>
        <v>CLT_AR_END_DTCollateral_Arrangement</v>
      </c>
      <c r="C132" s="46">
        <v>0.1</v>
      </c>
      <c r="D132" s="17" t="s">
        <v>310</v>
      </c>
      <c r="E132" s="17" t="s">
        <v>299</v>
      </c>
      <c r="F132" s="17" t="s">
        <v>33</v>
      </c>
      <c r="G132" s="56"/>
      <c r="H132" s="17" t="s">
        <v>311</v>
      </c>
      <c r="I132" s="46" t="s">
        <v>114</v>
      </c>
      <c r="J132" s="46"/>
      <c r="K132" s="46"/>
      <c r="L132" s="46" t="s">
        <v>116</v>
      </c>
    </row>
    <row r="133" spans="1:12" x14ac:dyDescent="0.35">
      <c r="A133" s="25"/>
      <c r="B133" s="68" t="str">
        <f t="shared" si="2"/>
        <v>CLT_AR_NO_ORIGCollateral_Arrangement</v>
      </c>
      <c r="C133" s="46">
        <v>0.1</v>
      </c>
      <c r="D133" s="17" t="s">
        <v>312</v>
      </c>
      <c r="E133" s="17" t="s">
        <v>299</v>
      </c>
      <c r="F133" s="17" t="s">
        <v>302</v>
      </c>
      <c r="G133" s="56"/>
      <c r="H133" s="17"/>
      <c r="I133" s="46" t="s">
        <v>133</v>
      </c>
      <c r="J133" s="46"/>
      <c r="K133" s="46"/>
      <c r="L133" s="46" t="s">
        <v>116</v>
      </c>
    </row>
    <row r="134" spans="1:12" x14ac:dyDescent="0.35">
      <c r="A134" s="25"/>
      <c r="B134" s="68" t="str">
        <f t="shared" si="2"/>
        <v>CLT_AR_SSM_CODE_ORIGCollateral_Arrangement</v>
      </c>
      <c r="C134" s="46">
        <v>0.1</v>
      </c>
      <c r="D134" s="17" t="s">
        <v>313</v>
      </c>
      <c r="E134" s="17" t="s">
        <v>299</v>
      </c>
      <c r="F134" s="17" t="s">
        <v>14</v>
      </c>
      <c r="G134" s="56"/>
      <c r="H134" s="17"/>
      <c r="I134" s="46" t="s">
        <v>133</v>
      </c>
      <c r="J134" s="46"/>
      <c r="K134" s="46"/>
      <c r="L134" s="46" t="s">
        <v>116</v>
      </c>
    </row>
    <row r="135" spans="1:12" x14ac:dyDescent="0.35">
      <c r="A135" s="25"/>
      <c r="B135" s="68" t="str">
        <f t="shared" si="2"/>
        <v>CLT_AR_BUS_REF_DTS_ORIGCollateral_Arrangement</v>
      </c>
      <c r="C135" s="46">
        <v>0.1</v>
      </c>
      <c r="D135" s="17" t="s">
        <v>314</v>
      </c>
      <c r="E135" s="17" t="s">
        <v>299</v>
      </c>
      <c r="F135" s="17" t="s">
        <v>16</v>
      </c>
      <c r="G135" s="56"/>
      <c r="H135" s="17"/>
      <c r="I135" s="46" t="s">
        <v>133</v>
      </c>
      <c r="J135" s="46"/>
      <c r="K135" s="46"/>
      <c r="L135" s="46" t="s">
        <v>116</v>
      </c>
    </row>
    <row r="136" spans="1:12" x14ac:dyDescent="0.35">
      <c r="A136" s="25"/>
      <c r="B136" s="68" t="str">
        <f t="shared" si="2"/>
        <v>CLT_AR_NO_MAP_ORIGCollateral_Arrangement</v>
      </c>
      <c r="C136" s="46">
        <v>0.1</v>
      </c>
      <c r="D136" s="17" t="s">
        <v>315</v>
      </c>
      <c r="E136" s="17" t="s">
        <v>299</v>
      </c>
      <c r="F136" s="17" t="s">
        <v>302</v>
      </c>
      <c r="G136" s="56"/>
      <c r="H136" s="17" t="s">
        <v>132</v>
      </c>
      <c r="I136" s="46" t="s">
        <v>133</v>
      </c>
      <c r="J136" s="46"/>
      <c r="K136" s="46"/>
      <c r="L136" s="46" t="s">
        <v>116</v>
      </c>
    </row>
    <row r="137" spans="1:12" x14ac:dyDescent="0.35">
      <c r="A137" s="25"/>
      <c r="B137" s="68" t="str">
        <f t="shared" si="2"/>
        <v>CLT_AR_SSM_CODE_MAP_ORIGCollateral_Arrangement</v>
      </c>
      <c r="C137" s="46">
        <v>0.1</v>
      </c>
      <c r="D137" s="17" t="s">
        <v>316</v>
      </c>
      <c r="E137" s="17" t="s">
        <v>299</v>
      </c>
      <c r="F137" s="17" t="s">
        <v>14</v>
      </c>
      <c r="G137" s="56"/>
      <c r="H137" s="17" t="s">
        <v>132</v>
      </c>
      <c r="I137" s="46" t="s">
        <v>133</v>
      </c>
      <c r="J137" s="46"/>
      <c r="K137" s="46"/>
      <c r="L137" s="46" t="s">
        <v>116</v>
      </c>
    </row>
    <row r="138" spans="1:12" x14ac:dyDescent="0.35">
      <c r="A138" s="25"/>
      <c r="B138" s="68" t="str">
        <f t="shared" si="2"/>
        <v>CLT_AR_BUS_REF_DTS_MAP_ORIGCollateral_Arrangement</v>
      </c>
      <c r="C138" s="46">
        <v>0.1</v>
      </c>
      <c r="D138" s="17" t="s">
        <v>317</v>
      </c>
      <c r="E138" s="17" t="s">
        <v>299</v>
      </c>
      <c r="F138" s="17" t="s">
        <v>16</v>
      </c>
      <c r="G138" s="56"/>
      <c r="H138" s="17" t="s">
        <v>132</v>
      </c>
      <c r="I138" s="46" t="s">
        <v>133</v>
      </c>
      <c r="J138" s="46"/>
      <c r="K138" s="46"/>
      <c r="L138" s="46" t="s">
        <v>116</v>
      </c>
    </row>
    <row r="139" spans="1:12" x14ac:dyDescent="0.35">
      <c r="A139" s="25"/>
      <c r="B139" s="68" t="str">
        <f t="shared" si="2"/>
        <v>CLT_OBJ_BUS_REF_DTSCollateral_Object</v>
      </c>
      <c r="C139" s="46">
        <v>0.1</v>
      </c>
      <c r="D139" s="17" t="s">
        <v>318</v>
      </c>
      <c r="E139" s="17" t="s">
        <v>319</v>
      </c>
      <c r="F139" s="17" t="s">
        <v>16</v>
      </c>
      <c r="G139" s="17" t="s">
        <v>4</v>
      </c>
      <c r="H139" s="17" t="s">
        <v>320</v>
      </c>
      <c r="I139" s="46" t="s">
        <v>114</v>
      </c>
      <c r="J139" s="46"/>
      <c r="K139" s="46"/>
      <c r="L139" s="46" t="s">
        <v>116</v>
      </c>
    </row>
    <row r="140" spans="1:12" x14ac:dyDescent="0.35">
      <c r="A140" s="25"/>
      <c r="B140" s="68" t="str">
        <f t="shared" si="2"/>
        <v>CLT_OBJ_NOCollateral_Object</v>
      </c>
      <c r="C140" s="46">
        <v>0.1</v>
      </c>
      <c r="D140" s="17" t="s">
        <v>321</v>
      </c>
      <c r="E140" s="17" t="s">
        <v>319</v>
      </c>
      <c r="F140" s="17" t="s">
        <v>302</v>
      </c>
      <c r="G140" s="17" t="s">
        <v>4</v>
      </c>
      <c r="H140" s="17" t="s">
        <v>322</v>
      </c>
      <c r="I140" s="46" t="s">
        <v>114</v>
      </c>
      <c r="J140" s="46"/>
      <c r="K140" s="46"/>
      <c r="L140" s="46" t="s">
        <v>116</v>
      </c>
    </row>
    <row r="141" spans="1:12" x14ac:dyDescent="0.35">
      <c r="A141" s="25"/>
      <c r="B141" s="68" t="str">
        <f t="shared" si="2"/>
        <v>CLT_OBJ_SSM_CODECollateral_Object</v>
      </c>
      <c r="C141" s="46">
        <v>0.1</v>
      </c>
      <c r="D141" s="17" t="s">
        <v>323</v>
      </c>
      <c r="E141" s="17" t="s">
        <v>319</v>
      </c>
      <c r="F141" s="17" t="s">
        <v>14</v>
      </c>
      <c r="G141" s="17" t="s">
        <v>4</v>
      </c>
      <c r="H141" s="17" t="s">
        <v>324</v>
      </c>
      <c r="I141" s="46" t="s">
        <v>114</v>
      </c>
      <c r="J141" s="46"/>
      <c r="K141" s="46"/>
      <c r="L141" s="46" t="s">
        <v>116</v>
      </c>
    </row>
    <row r="142" spans="1:12" x14ac:dyDescent="0.35">
      <c r="A142" s="25"/>
      <c r="B142" s="68" t="str">
        <f t="shared" si="2"/>
        <v>CLT_OBJ_BUS_REF_DTS_ORIGCollateral_Object</v>
      </c>
      <c r="C142" s="46">
        <v>0.1</v>
      </c>
      <c r="D142" s="17" t="s">
        <v>325</v>
      </c>
      <c r="E142" s="17" t="s">
        <v>319</v>
      </c>
      <c r="F142" s="17" t="s">
        <v>16</v>
      </c>
      <c r="G142" s="56"/>
      <c r="H142" s="17"/>
      <c r="I142" s="46" t="s">
        <v>133</v>
      </c>
      <c r="J142" s="46"/>
      <c r="K142" s="46"/>
      <c r="L142" s="46" t="s">
        <v>116</v>
      </c>
    </row>
    <row r="143" spans="1:12" x14ac:dyDescent="0.35">
      <c r="A143" s="25"/>
      <c r="B143" s="68" t="str">
        <f t="shared" si="2"/>
        <v>CLT_OBJ_NO_ORIGCollateral_Object</v>
      </c>
      <c r="C143" s="46">
        <v>0.1</v>
      </c>
      <c r="D143" s="17" t="s">
        <v>326</v>
      </c>
      <c r="E143" s="17" t="s">
        <v>319</v>
      </c>
      <c r="F143" s="17" t="s">
        <v>302</v>
      </c>
      <c r="G143" s="56"/>
      <c r="H143" s="17"/>
      <c r="I143" s="46" t="s">
        <v>133</v>
      </c>
      <c r="J143" s="46"/>
      <c r="K143" s="46"/>
      <c r="L143" s="46" t="s">
        <v>116</v>
      </c>
    </row>
    <row r="144" spans="1:12" x14ac:dyDescent="0.35">
      <c r="A144" s="25"/>
      <c r="B144" s="68" t="str">
        <f t="shared" si="2"/>
        <v>CLT_OBJ_SSM_CODE_ORIGCollateral_Object</v>
      </c>
      <c r="C144" s="46">
        <v>0.1</v>
      </c>
      <c r="D144" s="17" t="s">
        <v>327</v>
      </c>
      <c r="E144" s="17" t="s">
        <v>319</v>
      </c>
      <c r="F144" s="17" t="s">
        <v>14</v>
      </c>
      <c r="G144" s="56"/>
      <c r="H144" s="17"/>
      <c r="I144" s="46" t="s">
        <v>133</v>
      </c>
      <c r="J144" s="46"/>
      <c r="K144" s="46"/>
      <c r="L144" s="46" t="s">
        <v>116</v>
      </c>
    </row>
    <row r="145" spans="1:12" x14ac:dyDescent="0.35">
      <c r="A145" s="25"/>
      <c r="B145" s="68" t="str">
        <f t="shared" si="2"/>
        <v>CLT_OBJ_CTY_CODECollateral_Object</v>
      </c>
      <c r="C145" s="46">
        <v>0.1</v>
      </c>
      <c r="D145" s="17" t="s">
        <v>328</v>
      </c>
      <c r="E145" s="17" t="s">
        <v>319</v>
      </c>
      <c r="F145" s="17" t="s">
        <v>68</v>
      </c>
      <c r="G145" s="56"/>
      <c r="H145" s="17" t="s">
        <v>329</v>
      </c>
      <c r="I145" s="46" t="s">
        <v>114</v>
      </c>
      <c r="J145" s="46"/>
      <c r="K145" s="46"/>
      <c r="L145" s="46" t="s">
        <v>114</v>
      </c>
    </row>
    <row r="146" spans="1:12" x14ac:dyDescent="0.35">
      <c r="A146" s="25"/>
      <c r="B146" s="68" t="str">
        <f t="shared" si="2"/>
        <v>CLT_OBJ_TP_CODECollateral_Object</v>
      </c>
      <c r="C146" s="46">
        <v>0.1</v>
      </c>
      <c r="D146" s="17" t="s">
        <v>330</v>
      </c>
      <c r="E146" s="17" t="s">
        <v>319</v>
      </c>
      <c r="F146" s="17" t="s">
        <v>279</v>
      </c>
      <c r="G146" s="56"/>
      <c r="H146" s="17" t="s">
        <v>331</v>
      </c>
      <c r="I146" s="46" t="s">
        <v>114</v>
      </c>
      <c r="J146" s="46"/>
      <c r="K146" s="46"/>
      <c r="L146" s="46" t="s">
        <v>114</v>
      </c>
    </row>
    <row r="147" spans="1:12" x14ac:dyDescent="0.35">
      <c r="A147" s="25"/>
      <c r="B147" s="68" t="str">
        <f t="shared" si="2"/>
        <v>CLT_OBJ_NO_MAP_ORIGCollateral_Object</v>
      </c>
      <c r="C147" s="46">
        <v>0.1</v>
      </c>
      <c r="D147" s="56" t="s">
        <v>332</v>
      </c>
      <c r="E147" s="57" t="s">
        <v>319</v>
      </c>
      <c r="F147" s="57" t="s">
        <v>302</v>
      </c>
      <c r="G147" s="56"/>
      <c r="H147" s="17" t="s">
        <v>132</v>
      </c>
      <c r="I147" s="46" t="s">
        <v>133</v>
      </c>
      <c r="J147" s="46"/>
      <c r="K147" s="46"/>
      <c r="L147" s="46" t="s">
        <v>116</v>
      </c>
    </row>
    <row r="148" spans="1:12" x14ac:dyDescent="0.35">
      <c r="A148" s="25"/>
      <c r="B148" s="68" t="str">
        <f t="shared" si="2"/>
        <v>CLT_OBJ_SSM_CODE_MAP_ORIGCollateral_Object</v>
      </c>
      <c r="C148" s="46">
        <v>0.1</v>
      </c>
      <c r="D148" s="56" t="s">
        <v>333</v>
      </c>
      <c r="E148" s="57" t="s">
        <v>319</v>
      </c>
      <c r="F148" s="57" t="s">
        <v>14</v>
      </c>
      <c r="G148" s="56"/>
      <c r="H148" s="17" t="s">
        <v>132</v>
      </c>
      <c r="I148" s="46" t="s">
        <v>133</v>
      </c>
      <c r="J148" s="46"/>
      <c r="K148" s="46"/>
      <c r="L148" s="46" t="s">
        <v>116</v>
      </c>
    </row>
    <row r="149" spans="1:12" x14ac:dyDescent="0.35">
      <c r="A149" s="25"/>
      <c r="B149" s="68" t="str">
        <f t="shared" si="2"/>
        <v>CLT_OBJ_BUS_REF_DTS_MAP_ORIGCollateral_Object</v>
      </c>
      <c r="C149" s="46">
        <v>0.1</v>
      </c>
      <c r="D149" s="56" t="s">
        <v>334</v>
      </c>
      <c r="E149" s="57" t="s">
        <v>319</v>
      </c>
      <c r="F149" s="57" t="s">
        <v>16</v>
      </c>
      <c r="G149" s="56"/>
      <c r="H149" s="17" t="s">
        <v>132</v>
      </c>
      <c r="I149" s="46" t="s">
        <v>133</v>
      </c>
      <c r="J149" s="46"/>
      <c r="K149" s="46"/>
      <c r="L149" s="46" t="s">
        <v>116</v>
      </c>
    </row>
    <row r="150" spans="1:12" x14ac:dyDescent="0.35">
      <c r="A150" s="25"/>
      <c r="B150" s="68" t="str">
        <f t="shared" si="2"/>
        <v>CLT_OBJ_BUS_REF_DTSCollateral_Object_Value</v>
      </c>
      <c r="C150" s="46">
        <v>0.1</v>
      </c>
      <c r="D150" s="17" t="s">
        <v>318</v>
      </c>
      <c r="E150" s="17" t="s">
        <v>335</v>
      </c>
      <c r="F150" s="17" t="s">
        <v>16</v>
      </c>
      <c r="G150" s="17" t="s">
        <v>4</v>
      </c>
      <c r="H150" s="17" t="s">
        <v>320</v>
      </c>
      <c r="I150" s="46" t="s">
        <v>114</v>
      </c>
      <c r="J150" s="46"/>
      <c r="K150" s="46"/>
      <c r="L150" s="46" t="s">
        <v>116</v>
      </c>
    </row>
    <row r="151" spans="1:12" x14ac:dyDescent="0.35">
      <c r="A151" s="25"/>
      <c r="B151" s="68" t="str">
        <f t="shared" si="2"/>
        <v>CLT_OBJ_NOCollateral_Object_Value</v>
      </c>
      <c r="C151" s="46">
        <v>0.1</v>
      </c>
      <c r="D151" s="17" t="s">
        <v>321</v>
      </c>
      <c r="E151" s="17" t="s">
        <v>335</v>
      </c>
      <c r="F151" s="17" t="s">
        <v>302</v>
      </c>
      <c r="G151" s="17" t="s">
        <v>4</v>
      </c>
      <c r="H151" s="17" t="s">
        <v>322</v>
      </c>
      <c r="I151" s="46" t="s">
        <v>114</v>
      </c>
      <c r="J151" s="46"/>
      <c r="K151" s="46"/>
      <c r="L151" s="46" t="s">
        <v>116</v>
      </c>
    </row>
    <row r="152" spans="1:12" x14ac:dyDescent="0.35">
      <c r="A152" s="25"/>
      <c r="B152" s="68" t="str">
        <f t="shared" si="2"/>
        <v>CLT_OBJ_SSM_CODECollateral_Object_Value</v>
      </c>
      <c r="C152" s="46">
        <v>0.1</v>
      </c>
      <c r="D152" s="17" t="s">
        <v>323</v>
      </c>
      <c r="E152" s="17" t="s">
        <v>335</v>
      </c>
      <c r="F152" s="17" t="s">
        <v>14</v>
      </c>
      <c r="G152" s="17" t="s">
        <v>4</v>
      </c>
      <c r="H152" s="17" t="s">
        <v>324</v>
      </c>
      <c r="I152" s="46" t="s">
        <v>114</v>
      </c>
      <c r="J152" s="46"/>
      <c r="K152" s="46"/>
      <c r="L152" s="46" t="s">
        <v>116</v>
      </c>
    </row>
    <row r="153" spans="1:12" x14ac:dyDescent="0.35">
      <c r="A153" s="25"/>
      <c r="B153" s="68" t="str">
        <f t="shared" si="2"/>
        <v>CLT_OBJ_VAL_DTCollateral_Object_Value</v>
      </c>
      <c r="C153" s="46">
        <v>0.1</v>
      </c>
      <c r="D153" s="17" t="s">
        <v>336</v>
      </c>
      <c r="E153" s="18" t="s">
        <v>335</v>
      </c>
      <c r="F153" s="17" t="s">
        <v>33</v>
      </c>
      <c r="G153" s="17" t="s">
        <v>4</v>
      </c>
      <c r="H153" s="17" t="s">
        <v>337</v>
      </c>
      <c r="I153" s="46" t="s">
        <v>114</v>
      </c>
      <c r="J153" s="46"/>
      <c r="K153" s="46"/>
      <c r="L153" s="46" t="s">
        <v>116</v>
      </c>
    </row>
    <row r="154" spans="1:12" x14ac:dyDescent="0.35">
      <c r="A154" s="25"/>
      <c r="B154" s="68" t="str">
        <f t="shared" si="2"/>
        <v>CLT_OBJ_VAL_VAL_TP_CODECollateral_Object_Value</v>
      </c>
      <c r="C154" s="46">
        <v>0.1</v>
      </c>
      <c r="D154" s="17" t="s">
        <v>338</v>
      </c>
      <c r="E154" s="18" t="s">
        <v>335</v>
      </c>
      <c r="F154" s="17" t="s">
        <v>339</v>
      </c>
      <c r="G154" s="17" t="s">
        <v>4</v>
      </c>
      <c r="H154" s="17" t="s">
        <v>340</v>
      </c>
      <c r="I154" s="46" t="s">
        <v>114</v>
      </c>
      <c r="J154" s="46"/>
      <c r="K154" s="46"/>
      <c r="L154" s="46" t="s">
        <v>116</v>
      </c>
    </row>
    <row r="155" spans="1:12" x14ac:dyDescent="0.35">
      <c r="A155" s="25"/>
      <c r="B155" s="68" t="str">
        <f t="shared" si="2"/>
        <v>CLT_OBJ_VAL_APRV_FCollateral_Object_Value</v>
      </c>
      <c r="C155" s="46">
        <v>0.1</v>
      </c>
      <c r="D155" s="17" t="s">
        <v>341</v>
      </c>
      <c r="E155" s="18" t="s">
        <v>335</v>
      </c>
      <c r="F155" s="17" t="s">
        <v>342</v>
      </c>
      <c r="G155" s="56"/>
      <c r="H155" s="17" t="s">
        <v>343</v>
      </c>
      <c r="I155" s="46" t="s">
        <v>114</v>
      </c>
      <c r="J155" s="46"/>
      <c r="K155" s="46"/>
      <c r="L155" s="46" t="s">
        <v>116</v>
      </c>
    </row>
    <row r="156" spans="1:12" x14ac:dyDescent="0.35">
      <c r="A156" s="25"/>
      <c r="B156" s="68" t="str">
        <f t="shared" si="2"/>
        <v>CLT_OBJ_VAL_MTH_CODECollateral_Object_Value</v>
      </c>
      <c r="C156" s="46">
        <v>0.1</v>
      </c>
      <c r="D156" s="17" t="s">
        <v>344</v>
      </c>
      <c r="E156" s="18" t="s">
        <v>335</v>
      </c>
      <c r="F156" s="17" t="s">
        <v>14</v>
      </c>
      <c r="G156" s="17" t="s">
        <v>4</v>
      </c>
      <c r="H156" s="17" t="s">
        <v>345</v>
      </c>
      <c r="I156" s="46" t="s">
        <v>114</v>
      </c>
      <c r="J156" s="46"/>
      <c r="K156" s="46"/>
      <c r="L156" s="46" t="s">
        <v>116</v>
      </c>
    </row>
    <row r="157" spans="1:12" x14ac:dyDescent="0.35">
      <c r="A157" s="25"/>
      <c r="B157" s="68" t="str">
        <f t="shared" si="2"/>
        <v>CLT_OBJ_VAL_VAL_AMTCollateral_Object_Value</v>
      </c>
      <c r="C157" s="46">
        <v>0.1</v>
      </c>
      <c r="D157" s="17" t="s">
        <v>346</v>
      </c>
      <c r="E157" s="17" t="s">
        <v>335</v>
      </c>
      <c r="F157" s="17" t="s">
        <v>220</v>
      </c>
      <c r="G157" s="56"/>
      <c r="H157" s="17" t="s">
        <v>347</v>
      </c>
      <c r="I157" s="46" t="s">
        <v>114</v>
      </c>
      <c r="J157" s="46"/>
      <c r="K157" s="46"/>
      <c r="L157" s="46" t="s">
        <v>116</v>
      </c>
    </row>
    <row r="158" spans="1:12" x14ac:dyDescent="0.35">
      <c r="A158" s="25"/>
      <c r="B158" s="68" t="str">
        <f t="shared" si="2"/>
        <v>COL_IDCollateral_Item</v>
      </c>
      <c r="C158" s="46">
        <v>0.1</v>
      </c>
      <c r="D158" s="17" t="s">
        <v>348</v>
      </c>
      <c r="E158" s="17" t="s">
        <v>349</v>
      </c>
      <c r="F158" s="17" t="s">
        <v>10</v>
      </c>
      <c r="G158" s="17" t="s">
        <v>4</v>
      </c>
      <c r="H158" s="17" t="s">
        <v>350</v>
      </c>
      <c r="I158" s="46" t="s">
        <v>114</v>
      </c>
      <c r="J158" s="46"/>
      <c r="K158" s="46"/>
      <c r="L158" s="46" t="s">
        <v>116</v>
      </c>
    </row>
    <row r="159" spans="1:12" x14ac:dyDescent="0.35">
      <c r="A159" s="25"/>
      <c r="B159" s="68" t="str">
        <f t="shared" si="2"/>
        <v>META_SSM_CODECollateral_Item</v>
      </c>
      <c r="C159" s="46">
        <v>0.1</v>
      </c>
      <c r="D159" s="17" t="s">
        <v>351</v>
      </c>
      <c r="E159" s="17" t="s">
        <v>349</v>
      </c>
      <c r="F159" s="17" t="s">
        <v>352</v>
      </c>
      <c r="G159" s="17" t="s">
        <v>4</v>
      </c>
      <c r="H159" s="17" t="s">
        <v>353</v>
      </c>
      <c r="I159" s="46" t="s">
        <v>114</v>
      </c>
      <c r="J159" s="46"/>
      <c r="K159" s="46"/>
      <c r="L159" s="46" t="s">
        <v>116</v>
      </c>
    </row>
    <row r="160" spans="1:12" x14ac:dyDescent="0.35">
      <c r="A160" s="25"/>
      <c r="B160" s="68" t="str">
        <f t="shared" si="2"/>
        <v>COL_BUS_REF_DTSCollateral_Item</v>
      </c>
      <c r="C160" s="46">
        <v>0.1</v>
      </c>
      <c r="D160" s="17" t="s">
        <v>354</v>
      </c>
      <c r="E160" s="17" t="s">
        <v>349</v>
      </c>
      <c r="F160" s="17" t="s">
        <v>16</v>
      </c>
      <c r="G160" s="17" t="s">
        <v>4</v>
      </c>
      <c r="H160" s="17" t="s">
        <v>355</v>
      </c>
      <c r="I160" s="46" t="s">
        <v>114</v>
      </c>
      <c r="J160" s="46"/>
      <c r="K160" s="46"/>
      <c r="L160" s="46" t="s">
        <v>116</v>
      </c>
    </row>
    <row r="161" spans="1:12" x14ac:dyDescent="0.35">
      <c r="A161" s="25"/>
      <c r="B161" s="68" t="str">
        <f t="shared" si="2"/>
        <v>COL_TPCollateral_Item</v>
      </c>
      <c r="C161" s="46">
        <v>0.1</v>
      </c>
      <c r="D161" s="17" t="s">
        <v>356</v>
      </c>
      <c r="E161" s="17" t="s">
        <v>349</v>
      </c>
      <c r="F161" s="17" t="s">
        <v>279</v>
      </c>
      <c r="G161" s="56"/>
      <c r="H161" s="17" t="s">
        <v>357</v>
      </c>
      <c r="I161" s="46" t="s">
        <v>114</v>
      </c>
      <c r="J161" s="46"/>
      <c r="K161" s="46"/>
      <c r="L161" s="46" t="s">
        <v>114</v>
      </c>
    </row>
    <row r="162" spans="1:12" x14ac:dyDescent="0.35">
      <c r="A162" s="25"/>
      <c r="B162" s="68" t="str">
        <f t="shared" si="2"/>
        <v>RE_TPCollateral_Item</v>
      </c>
      <c r="C162" s="46">
        <v>0.1</v>
      </c>
      <c r="D162" s="17" t="s">
        <v>358</v>
      </c>
      <c r="E162" s="17" t="s">
        <v>349</v>
      </c>
      <c r="F162" s="17" t="s">
        <v>352</v>
      </c>
      <c r="G162" s="56"/>
      <c r="H162" s="17" t="s">
        <v>359</v>
      </c>
      <c r="I162" s="46" t="s">
        <v>114</v>
      </c>
      <c r="J162" s="46"/>
      <c r="K162" s="46"/>
      <c r="L162" s="46" t="s">
        <v>114</v>
      </c>
    </row>
    <row r="163" spans="1:12" x14ac:dyDescent="0.35">
      <c r="A163" s="25"/>
      <c r="B163" s="68" t="str">
        <f t="shared" si="2"/>
        <v>COL_CURRVAL_EURCollateral_Item</v>
      </c>
      <c r="C163" s="46">
        <v>0.1</v>
      </c>
      <c r="D163" s="17" t="s">
        <v>360</v>
      </c>
      <c r="E163" s="17" t="s">
        <v>349</v>
      </c>
      <c r="F163" s="17" t="s">
        <v>361</v>
      </c>
      <c r="G163" s="56"/>
      <c r="H163" s="17" t="s">
        <v>362</v>
      </c>
      <c r="I163" s="46" t="s">
        <v>114</v>
      </c>
      <c r="J163" s="46"/>
      <c r="K163" s="46"/>
      <c r="L163" s="46" t="s">
        <v>116</v>
      </c>
    </row>
    <row r="164" spans="1:12" x14ac:dyDescent="0.35">
      <c r="A164" s="25"/>
      <c r="B164" s="68" t="str">
        <f t="shared" si="2"/>
        <v>COL_DT_OF_VALCollateral_Item</v>
      </c>
      <c r="C164" s="46">
        <v>0.1</v>
      </c>
      <c r="D164" s="17" t="s">
        <v>363</v>
      </c>
      <c r="E164" s="17" t="s">
        <v>349</v>
      </c>
      <c r="F164" s="17" t="s">
        <v>33</v>
      </c>
      <c r="G164" s="56"/>
      <c r="H164" s="17" t="s">
        <v>364</v>
      </c>
      <c r="I164" s="46" t="s">
        <v>114</v>
      </c>
      <c r="J164" s="46"/>
      <c r="K164" s="46"/>
      <c r="L164" s="46" t="s">
        <v>116</v>
      </c>
    </row>
    <row r="165" spans="1:12" x14ac:dyDescent="0.35">
      <c r="A165" s="25"/>
      <c r="B165" s="68" t="str">
        <f t="shared" si="2"/>
        <v>COL_AMT_OF_T3P_CLM_EURCollateral_Item</v>
      </c>
      <c r="C165" s="46">
        <v>0.1</v>
      </c>
      <c r="D165" s="17" t="s">
        <v>365</v>
      </c>
      <c r="E165" s="17" t="s">
        <v>349</v>
      </c>
      <c r="F165" s="17" t="s">
        <v>361</v>
      </c>
      <c r="G165" s="56"/>
      <c r="H165" s="17" t="s">
        <v>366</v>
      </c>
      <c r="I165" s="46" t="s">
        <v>114</v>
      </c>
      <c r="J165" s="46"/>
      <c r="K165" s="46"/>
      <c r="L165" s="46" t="s">
        <v>116</v>
      </c>
    </row>
    <row r="166" spans="1:12" x14ac:dyDescent="0.35">
      <c r="A166" s="25"/>
      <c r="B166" s="68" t="str">
        <f t="shared" si="2"/>
        <v>COL_ORIG_VAL_DTCollateral_Item</v>
      </c>
      <c r="C166" s="46">
        <v>0.1</v>
      </c>
      <c r="D166" s="17" t="s">
        <v>367</v>
      </c>
      <c r="E166" s="17" t="s">
        <v>349</v>
      </c>
      <c r="F166" s="17" t="s">
        <v>33</v>
      </c>
      <c r="G166" s="56"/>
      <c r="H166" s="17" t="s">
        <v>368</v>
      </c>
      <c r="I166" s="46" t="s">
        <v>114</v>
      </c>
      <c r="J166" s="46"/>
      <c r="K166" s="46"/>
      <c r="L166" s="46" t="s">
        <v>116</v>
      </c>
    </row>
    <row r="167" spans="1:12" x14ac:dyDescent="0.35">
      <c r="A167" s="25"/>
      <c r="B167" s="68" t="str">
        <f t="shared" si="2"/>
        <v>COL_MAT_DTCollateral_Item</v>
      </c>
      <c r="C167" s="46">
        <v>0.1</v>
      </c>
      <c r="D167" s="17" t="s">
        <v>369</v>
      </c>
      <c r="E167" s="17" t="s">
        <v>349</v>
      </c>
      <c r="F167" s="17" t="s">
        <v>33</v>
      </c>
      <c r="G167" s="56"/>
      <c r="H167" s="17" t="s">
        <v>370</v>
      </c>
      <c r="I167" s="46" t="s">
        <v>114</v>
      </c>
      <c r="J167" s="46"/>
      <c r="K167" s="46"/>
      <c r="L167" s="46" t="s">
        <v>116</v>
      </c>
    </row>
    <row r="168" spans="1:12" x14ac:dyDescent="0.35">
      <c r="A168" s="25"/>
      <c r="B168" s="68" t="str">
        <f t="shared" si="2"/>
        <v>COL_BUS_REF_DTS_ORIGCollateral_Item</v>
      </c>
      <c r="C168" s="46">
        <v>0.1</v>
      </c>
      <c r="D168" s="17" t="s">
        <v>371</v>
      </c>
      <c r="E168" s="17" t="s">
        <v>349</v>
      </c>
      <c r="F168" s="17" t="s">
        <v>16</v>
      </c>
      <c r="G168" s="56"/>
      <c r="H168" s="17" t="s">
        <v>132</v>
      </c>
      <c r="I168" s="46" t="s">
        <v>133</v>
      </c>
      <c r="J168" s="46"/>
      <c r="K168" s="46"/>
      <c r="L168" s="46" t="s">
        <v>116</v>
      </c>
    </row>
    <row r="169" spans="1:12" x14ac:dyDescent="0.35">
      <c r="A169" s="25"/>
      <c r="B169" s="68" t="str">
        <f t="shared" si="2"/>
        <v>COL_ID_ORIGCollateral_Item</v>
      </c>
      <c r="C169" s="46">
        <v>0.1</v>
      </c>
      <c r="D169" s="17" t="s">
        <v>372</v>
      </c>
      <c r="E169" s="17" t="s">
        <v>349</v>
      </c>
      <c r="F169" s="17" t="s">
        <v>10</v>
      </c>
      <c r="G169" s="56"/>
      <c r="H169" s="17" t="s">
        <v>132</v>
      </c>
      <c r="I169" s="46" t="s">
        <v>133</v>
      </c>
      <c r="J169" s="46"/>
      <c r="K169" s="46"/>
      <c r="L169" s="46" t="s">
        <v>116</v>
      </c>
    </row>
    <row r="170" spans="1:12" x14ac:dyDescent="0.35">
      <c r="A170" s="25"/>
      <c r="B170" s="68" t="str">
        <f t="shared" si="2"/>
        <v>META_SSM_CODE_ORIGCollateral_Item</v>
      </c>
      <c r="C170" s="46">
        <v>0.1</v>
      </c>
      <c r="D170" s="17" t="s">
        <v>373</v>
      </c>
      <c r="E170" s="17" t="s">
        <v>349</v>
      </c>
      <c r="F170" s="17" t="s">
        <v>352</v>
      </c>
      <c r="G170" s="56"/>
      <c r="H170" s="17" t="s">
        <v>132</v>
      </c>
      <c r="I170" s="46" t="s">
        <v>133</v>
      </c>
      <c r="J170" s="46"/>
      <c r="K170" s="46"/>
      <c r="L170" s="46" t="s">
        <v>116</v>
      </c>
    </row>
    <row r="171" spans="1:12" x14ac:dyDescent="0.35">
      <c r="A171" s="25"/>
      <c r="B171" s="68" t="str">
        <f t="shared" si="2"/>
        <v>COL_ID_MAP_ORIGCollateral_Item</v>
      </c>
      <c r="C171" s="46">
        <v>0.1</v>
      </c>
      <c r="D171" s="17" t="s">
        <v>374</v>
      </c>
      <c r="E171" s="17" t="s">
        <v>349</v>
      </c>
      <c r="F171" s="17" t="s">
        <v>10</v>
      </c>
      <c r="G171" s="56"/>
      <c r="H171" s="17" t="s">
        <v>132</v>
      </c>
      <c r="I171" s="46" t="s">
        <v>133</v>
      </c>
      <c r="J171" s="46"/>
      <c r="K171" s="46"/>
      <c r="L171" s="46" t="s">
        <v>116</v>
      </c>
    </row>
    <row r="172" spans="1:12" x14ac:dyDescent="0.35">
      <c r="A172" s="25"/>
      <c r="B172" s="68" t="str">
        <f t="shared" si="2"/>
        <v>META_SSM_CODE_MAP_ORIGCollateral_Item</v>
      </c>
      <c r="C172" s="46">
        <v>0.1</v>
      </c>
      <c r="D172" s="17" t="s">
        <v>375</v>
      </c>
      <c r="E172" s="17" t="s">
        <v>349</v>
      </c>
      <c r="F172" s="17" t="s">
        <v>352</v>
      </c>
      <c r="G172" s="56"/>
      <c r="H172" s="17" t="s">
        <v>132</v>
      </c>
      <c r="I172" s="46" t="s">
        <v>133</v>
      </c>
      <c r="J172" s="46"/>
      <c r="K172" s="46"/>
      <c r="L172" s="46" t="s">
        <v>116</v>
      </c>
    </row>
    <row r="173" spans="1:12" x14ac:dyDescent="0.35">
      <c r="A173" s="25"/>
      <c r="B173" s="68" t="str">
        <f t="shared" si="2"/>
        <v>COL_BUS_REF_DTS_MAP_ORIGCollateral_Item</v>
      </c>
      <c r="C173" s="46">
        <v>0.1</v>
      </c>
      <c r="D173" s="17" t="s">
        <v>376</v>
      </c>
      <c r="E173" s="17" t="s">
        <v>349</v>
      </c>
      <c r="F173" s="17" t="s">
        <v>16</v>
      </c>
      <c r="G173" s="56"/>
      <c r="H173" s="17" t="s">
        <v>132</v>
      </c>
      <c r="I173" s="46" t="s">
        <v>133</v>
      </c>
      <c r="J173" s="46"/>
      <c r="K173" s="46"/>
      <c r="L173" s="46" t="s">
        <v>116</v>
      </c>
    </row>
    <row r="174" spans="1:12" x14ac:dyDescent="0.35">
      <c r="A174" s="25"/>
      <c r="B174" s="68" t="str">
        <f t="shared" si="2"/>
        <v>REG_FCY_BUS_REF_DTSCLT_AR_LINE_ALLOCATION</v>
      </c>
      <c r="C174" s="46">
        <v>0.1</v>
      </c>
      <c r="D174" s="45" t="s">
        <v>190</v>
      </c>
      <c r="E174" s="17" t="s">
        <v>377</v>
      </c>
      <c r="F174" s="17" t="s">
        <v>16</v>
      </c>
      <c r="G174" s="17" t="s">
        <v>4</v>
      </c>
      <c r="H174" s="17" t="s">
        <v>191</v>
      </c>
      <c r="I174" s="46" t="s">
        <v>114</v>
      </c>
      <c r="J174" s="46"/>
      <c r="K174" s="46"/>
      <c r="L174" s="46" t="s">
        <v>116</v>
      </c>
    </row>
    <row r="175" spans="1:12" x14ac:dyDescent="0.35">
      <c r="A175" s="25"/>
      <c r="B175" s="68" t="str">
        <f t="shared" si="2"/>
        <v>REG_FCY_NOCLT_AR_LINE_ALLOCATION</v>
      </c>
      <c r="C175" s="46">
        <v>0.1</v>
      </c>
      <c r="D175" s="17" t="s">
        <v>186</v>
      </c>
      <c r="E175" s="17" t="s">
        <v>377</v>
      </c>
      <c r="F175" s="17" t="s">
        <v>10</v>
      </c>
      <c r="G175" s="17" t="s">
        <v>4</v>
      </c>
      <c r="H175" s="17" t="s">
        <v>187</v>
      </c>
      <c r="I175" s="46" t="s">
        <v>114</v>
      </c>
      <c r="J175" s="46"/>
      <c r="K175" s="46"/>
      <c r="L175" s="46" t="s">
        <v>116</v>
      </c>
    </row>
    <row r="176" spans="1:12" x14ac:dyDescent="0.35">
      <c r="A176" s="25"/>
      <c r="B176" s="68" t="str">
        <f t="shared" si="2"/>
        <v>REG_FCY_SSM_CODECLT_AR_LINE_ALLOCATION</v>
      </c>
      <c r="C176" s="46">
        <v>0.1</v>
      </c>
      <c r="D176" s="17" t="s">
        <v>188</v>
      </c>
      <c r="E176" s="17" t="s">
        <v>377</v>
      </c>
      <c r="F176" s="17" t="s">
        <v>14</v>
      </c>
      <c r="G176" s="17" t="s">
        <v>4</v>
      </c>
      <c r="H176" s="17" t="s">
        <v>189</v>
      </c>
      <c r="I176" s="46" t="s">
        <v>114</v>
      </c>
      <c r="J176" s="46"/>
      <c r="K176" s="46"/>
      <c r="L176" s="46" t="s">
        <v>116</v>
      </c>
    </row>
    <row r="177" spans="1:12" x14ac:dyDescent="0.35">
      <c r="A177" s="25"/>
      <c r="B177" s="68" t="str">
        <f t="shared" si="2"/>
        <v>CLT_AR_BUS_REF_DTSCLT_AR_LINE_ALLOCATION</v>
      </c>
      <c r="C177" s="46">
        <v>0.1</v>
      </c>
      <c r="D177" s="17" t="s">
        <v>298</v>
      </c>
      <c r="E177" s="17" t="s">
        <v>377</v>
      </c>
      <c r="F177" s="17" t="s">
        <v>16</v>
      </c>
      <c r="G177" s="17" t="s">
        <v>4</v>
      </c>
      <c r="H177" s="17" t="s">
        <v>300</v>
      </c>
      <c r="I177" s="46" t="s">
        <v>114</v>
      </c>
      <c r="J177" s="46"/>
      <c r="K177" s="46"/>
      <c r="L177" s="46" t="s">
        <v>116</v>
      </c>
    </row>
    <row r="178" spans="1:12" x14ac:dyDescent="0.35">
      <c r="A178" s="25"/>
      <c r="B178" s="68" t="str">
        <f t="shared" si="2"/>
        <v>CLT_AR_NOCLT_AR_LINE_ALLOCATION</v>
      </c>
      <c r="C178" s="46">
        <v>0.1</v>
      </c>
      <c r="D178" s="17" t="s">
        <v>301</v>
      </c>
      <c r="E178" s="17" t="s">
        <v>377</v>
      </c>
      <c r="F178" s="17" t="s">
        <v>302</v>
      </c>
      <c r="G178" s="17" t="s">
        <v>4</v>
      </c>
      <c r="H178" s="17" t="s">
        <v>303</v>
      </c>
      <c r="I178" s="46" t="s">
        <v>114</v>
      </c>
      <c r="J178" s="46"/>
      <c r="K178" s="46"/>
      <c r="L178" s="46" t="s">
        <v>116</v>
      </c>
    </row>
    <row r="179" spans="1:12" x14ac:dyDescent="0.35">
      <c r="A179" s="25"/>
      <c r="B179" s="68" t="str">
        <f t="shared" si="2"/>
        <v>CLT_AR_SSM_CODECLT_AR_LINE_ALLOCATION</v>
      </c>
      <c r="C179" s="46">
        <v>0.1</v>
      </c>
      <c r="D179" s="17" t="s">
        <v>304</v>
      </c>
      <c r="E179" s="17" t="s">
        <v>377</v>
      </c>
      <c r="F179" s="17" t="s">
        <v>14</v>
      </c>
      <c r="G179" s="17" t="s">
        <v>4</v>
      </c>
      <c r="H179" s="17" t="s">
        <v>305</v>
      </c>
      <c r="I179" s="46" t="s">
        <v>114</v>
      </c>
      <c r="J179" s="46"/>
      <c r="K179" s="46"/>
      <c r="L179" s="46" t="s">
        <v>116</v>
      </c>
    </row>
    <row r="180" spans="1:12" x14ac:dyDescent="0.35">
      <c r="A180" s="25"/>
      <c r="B180" s="68" t="str">
        <f t="shared" si="2"/>
        <v>REG_FCY_BUS_REF_DTS_ORIGCLT_AR_LINE_ALLOCATION</v>
      </c>
      <c r="C180" s="46">
        <v>0.1</v>
      </c>
      <c r="D180" s="17" t="s">
        <v>195</v>
      </c>
      <c r="E180" s="17" t="s">
        <v>377</v>
      </c>
      <c r="F180" s="17" t="s">
        <v>16</v>
      </c>
      <c r="G180" s="56"/>
      <c r="H180" s="17"/>
      <c r="I180" s="46" t="s">
        <v>133</v>
      </c>
      <c r="J180" s="46"/>
      <c r="K180" s="46"/>
      <c r="L180" s="46" t="s">
        <v>116</v>
      </c>
    </row>
    <row r="181" spans="1:12" x14ac:dyDescent="0.35">
      <c r="A181" s="25"/>
      <c r="B181" s="68" t="str">
        <f t="shared" si="2"/>
        <v>REG_FCY_NO_ORIGCLT_AR_LINE_ALLOCATION</v>
      </c>
      <c r="C181" s="46">
        <v>0.1</v>
      </c>
      <c r="D181" s="17" t="s">
        <v>193</v>
      </c>
      <c r="E181" s="17" t="s">
        <v>377</v>
      </c>
      <c r="F181" s="17" t="s">
        <v>10</v>
      </c>
      <c r="G181" s="56"/>
      <c r="H181" s="17"/>
      <c r="I181" s="46" t="s">
        <v>133</v>
      </c>
      <c r="J181" s="46"/>
      <c r="K181" s="46"/>
      <c r="L181" s="46" t="s">
        <v>116</v>
      </c>
    </row>
    <row r="182" spans="1:12" x14ac:dyDescent="0.35">
      <c r="A182" s="25"/>
      <c r="B182" s="68" t="str">
        <f t="shared" si="2"/>
        <v>REG_FCY_SSM_CODE_ORIGCLT_AR_LINE_ALLOCATION</v>
      </c>
      <c r="C182" s="46">
        <v>0.1</v>
      </c>
      <c r="D182" s="17" t="s">
        <v>194</v>
      </c>
      <c r="E182" s="17" t="s">
        <v>377</v>
      </c>
      <c r="F182" s="17" t="s">
        <v>14</v>
      </c>
      <c r="G182" s="56"/>
      <c r="H182" s="17"/>
      <c r="I182" s="46" t="s">
        <v>133</v>
      </c>
      <c r="J182" s="46"/>
      <c r="K182" s="46"/>
      <c r="L182" s="46" t="s">
        <v>116</v>
      </c>
    </row>
    <row r="183" spans="1:12" x14ac:dyDescent="0.35">
      <c r="A183" s="25"/>
      <c r="B183" s="68" t="str">
        <f t="shared" si="2"/>
        <v>REG_FCY_SSM_CODECLT_OBJ_LINE_ALLOCATION</v>
      </c>
      <c r="C183" s="46">
        <v>0.1</v>
      </c>
      <c r="D183" s="17" t="s">
        <v>188</v>
      </c>
      <c r="E183" s="17" t="s">
        <v>378</v>
      </c>
      <c r="F183" s="17" t="s">
        <v>14</v>
      </c>
      <c r="G183" s="17" t="s">
        <v>4</v>
      </c>
      <c r="H183" s="17" t="s">
        <v>189</v>
      </c>
      <c r="I183" s="46" t="s">
        <v>114</v>
      </c>
      <c r="J183" s="46"/>
      <c r="K183" s="46"/>
      <c r="L183" s="46" t="s">
        <v>116</v>
      </c>
    </row>
    <row r="184" spans="1:12" x14ac:dyDescent="0.35">
      <c r="A184" s="25"/>
      <c r="B184" s="68" t="str">
        <f t="shared" si="2"/>
        <v>REG_FCY_BUS_REF_DTSCLT_OBJ_LINE_ALLOCATION</v>
      </c>
      <c r="C184" s="46">
        <v>0.1</v>
      </c>
      <c r="D184" s="17" t="s">
        <v>190</v>
      </c>
      <c r="E184" s="17" t="s">
        <v>378</v>
      </c>
      <c r="F184" s="17" t="s">
        <v>16</v>
      </c>
      <c r="G184" s="17" t="s">
        <v>4</v>
      </c>
      <c r="H184" s="17" t="s">
        <v>191</v>
      </c>
      <c r="I184" s="46" t="s">
        <v>114</v>
      </c>
      <c r="J184" s="46"/>
      <c r="K184" s="46"/>
      <c r="L184" s="46" t="s">
        <v>116</v>
      </c>
    </row>
    <row r="185" spans="1:12" x14ac:dyDescent="0.35">
      <c r="A185" s="25"/>
      <c r="B185" s="68" t="str">
        <f t="shared" si="2"/>
        <v>REG_FCY_NOCLT_OBJ_LINE_ALLOCATION</v>
      </c>
      <c r="C185" s="46">
        <v>0.1</v>
      </c>
      <c r="D185" s="17" t="s">
        <v>186</v>
      </c>
      <c r="E185" s="17" t="s">
        <v>378</v>
      </c>
      <c r="F185" s="17" t="s">
        <v>10</v>
      </c>
      <c r="G185" s="17" t="s">
        <v>4</v>
      </c>
      <c r="H185" s="17" t="s">
        <v>187</v>
      </c>
      <c r="I185" s="46" t="s">
        <v>114</v>
      </c>
      <c r="J185" s="46"/>
      <c r="K185" s="46"/>
      <c r="L185" s="46" t="s">
        <v>116</v>
      </c>
    </row>
    <row r="186" spans="1:12" x14ac:dyDescent="0.35">
      <c r="A186" s="25"/>
      <c r="B186" s="68" t="str">
        <f t="shared" si="2"/>
        <v>CLT_OBJ_BUS_REF_DTSCLT_OBJ_LINE_ALLOCATION</v>
      </c>
      <c r="C186" s="46">
        <v>0.1</v>
      </c>
      <c r="D186" s="17" t="s">
        <v>318</v>
      </c>
      <c r="E186" s="17" t="s">
        <v>378</v>
      </c>
      <c r="F186" s="17" t="s">
        <v>16</v>
      </c>
      <c r="G186" s="17" t="s">
        <v>4</v>
      </c>
      <c r="H186" s="17" t="s">
        <v>320</v>
      </c>
      <c r="I186" s="46" t="s">
        <v>114</v>
      </c>
      <c r="J186" s="46"/>
      <c r="K186" s="46"/>
      <c r="L186" s="46" t="s">
        <v>116</v>
      </c>
    </row>
    <row r="187" spans="1:12" x14ac:dyDescent="0.35">
      <c r="A187" s="25"/>
      <c r="B187" s="68" t="str">
        <f t="shared" si="2"/>
        <v>CLT_OBJ_NOCLT_OBJ_LINE_ALLOCATION</v>
      </c>
      <c r="C187" s="46">
        <v>0.1</v>
      </c>
      <c r="D187" s="17" t="s">
        <v>321</v>
      </c>
      <c r="E187" s="17" t="s">
        <v>378</v>
      </c>
      <c r="F187" s="17" t="s">
        <v>302</v>
      </c>
      <c r="G187" s="17" t="s">
        <v>4</v>
      </c>
      <c r="H187" s="17" t="s">
        <v>322</v>
      </c>
      <c r="I187" s="46" t="s">
        <v>114</v>
      </c>
      <c r="J187" s="46"/>
      <c r="K187" s="46"/>
      <c r="L187" s="46" t="s">
        <v>116</v>
      </c>
    </row>
    <row r="188" spans="1:12" x14ac:dyDescent="0.35">
      <c r="A188" s="25"/>
      <c r="B188" s="68" t="str">
        <f t="shared" si="2"/>
        <v>CLT_OBJ_SSM_CODECLT_OBJ_LINE_ALLOCATION</v>
      </c>
      <c r="C188" s="46">
        <v>0.1</v>
      </c>
      <c r="D188" s="17" t="s">
        <v>323</v>
      </c>
      <c r="E188" s="17" t="s">
        <v>378</v>
      </c>
      <c r="F188" s="17" t="s">
        <v>14</v>
      </c>
      <c r="G188" s="17" t="s">
        <v>4</v>
      </c>
      <c r="H188" s="17" t="s">
        <v>324</v>
      </c>
      <c r="I188" s="46" t="s">
        <v>114</v>
      </c>
      <c r="J188" s="46"/>
      <c r="K188" s="46"/>
      <c r="L188" s="46" t="s">
        <v>116</v>
      </c>
    </row>
    <row r="189" spans="1:12" x14ac:dyDescent="0.35">
      <c r="A189" s="25"/>
      <c r="B189" s="68" t="str">
        <f t="shared" si="2"/>
        <v>REG_FCY_NO_ORIGCLT_OBJ_LINE_ALLOCATION</v>
      </c>
      <c r="C189" s="46">
        <v>0.1</v>
      </c>
      <c r="D189" s="17" t="s">
        <v>193</v>
      </c>
      <c r="E189" s="17" t="s">
        <v>378</v>
      </c>
      <c r="F189" s="17" t="s">
        <v>10</v>
      </c>
      <c r="G189" s="56"/>
      <c r="H189" s="17"/>
      <c r="I189" s="46" t="s">
        <v>133</v>
      </c>
      <c r="J189" s="46"/>
      <c r="K189" s="46"/>
      <c r="L189" s="46" t="s">
        <v>116</v>
      </c>
    </row>
    <row r="190" spans="1:12" x14ac:dyDescent="0.35">
      <c r="A190" s="25"/>
      <c r="B190" s="68" t="str">
        <f t="shared" si="2"/>
        <v>REG_FCY_SSM_CODE_ORIGCLT_OBJ_LINE_ALLOCATION</v>
      </c>
      <c r="C190" s="46">
        <v>0.1</v>
      </c>
      <c r="D190" s="17" t="s">
        <v>194</v>
      </c>
      <c r="E190" s="17" t="s">
        <v>378</v>
      </c>
      <c r="F190" s="17" t="s">
        <v>14</v>
      </c>
      <c r="G190" s="56"/>
      <c r="H190" s="17"/>
      <c r="I190" s="46" t="s">
        <v>133</v>
      </c>
      <c r="J190" s="46"/>
      <c r="K190" s="46"/>
      <c r="L190" s="46" t="s">
        <v>116</v>
      </c>
    </row>
    <row r="191" spans="1:12" x14ac:dyDescent="0.35">
      <c r="A191" s="25"/>
      <c r="B191" s="68" t="str">
        <f t="shared" si="2"/>
        <v>REG_FCY_BUS_REF_DTS_ORIGCLT_OBJ_LINE_ALLOCATION</v>
      </c>
      <c r="C191" s="46">
        <v>0.1</v>
      </c>
      <c r="D191" s="17" t="s">
        <v>195</v>
      </c>
      <c r="E191" s="17" t="s">
        <v>378</v>
      </c>
      <c r="F191" s="17" t="s">
        <v>16</v>
      </c>
      <c r="G191" s="56"/>
      <c r="H191" s="17"/>
      <c r="I191" s="46" t="s">
        <v>133</v>
      </c>
      <c r="J191" s="46"/>
      <c r="K191" s="46"/>
      <c r="L191" s="46" t="s">
        <v>116</v>
      </c>
    </row>
    <row r="192" spans="1:12" x14ac:dyDescent="0.35">
      <c r="A192" s="25"/>
      <c r="B192" s="68" t="str">
        <f t="shared" si="2"/>
        <v>CLT_AR_BUS_REF_DTSCLT_OBJ_TO_AR_LINE_ALLOCATION</v>
      </c>
      <c r="C192" s="46">
        <v>0.1</v>
      </c>
      <c r="D192" s="17" t="s">
        <v>298</v>
      </c>
      <c r="E192" s="17" t="s">
        <v>379</v>
      </c>
      <c r="F192" s="17" t="s">
        <v>16</v>
      </c>
      <c r="G192" s="17" t="s">
        <v>4</v>
      </c>
      <c r="H192" s="17" t="s">
        <v>300</v>
      </c>
      <c r="I192" s="46" t="s">
        <v>114</v>
      </c>
      <c r="J192" s="46"/>
      <c r="K192" s="46"/>
      <c r="L192" s="46" t="s">
        <v>116</v>
      </c>
    </row>
    <row r="193" spans="1:12" x14ac:dyDescent="0.35">
      <c r="A193" s="25"/>
      <c r="B193" s="68" t="str">
        <f t="shared" si="2"/>
        <v>CLT_AR_NOCLT_OBJ_TO_AR_LINE_ALLOCATION</v>
      </c>
      <c r="C193" s="46">
        <v>0.1</v>
      </c>
      <c r="D193" s="17" t="s">
        <v>301</v>
      </c>
      <c r="E193" s="17" t="s">
        <v>379</v>
      </c>
      <c r="F193" s="17" t="s">
        <v>302</v>
      </c>
      <c r="G193" s="17" t="s">
        <v>4</v>
      </c>
      <c r="H193" s="17" t="s">
        <v>303</v>
      </c>
      <c r="I193" s="46" t="s">
        <v>114</v>
      </c>
      <c r="J193" s="46"/>
      <c r="K193" s="46"/>
      <c r="L193" s="46" t="s">
        <v>116</v>
      </c>
    </row>
    <row r="194" spans="1:12" x14ac:dyDescent="0.35">
      <c r="A194" s="25"/>
      <c r="B194" s="68" t="str">
        <f t="shared" si="2"/>
        <v>CLT_AR_SSM_CODECLT_OBJ_TO_AR_LINE_ALLOCATION</v>
      </c>
      <c r="C194" s="46">
        <v>0.1</v>
      </c>
      <c r="D194" s="17" t="s">
        <v>304</v>
      </c>
      <c r="E194" s="17" t="s">
        <v>379</v>
      </c>
      <c r="F194" s="17" t="s">
        <v>14</v>
      </c>
      <c r="G194" s="17" t="s">
        <v>4</v>
      </c>
      <c r="H194" s="17" t="s">
        <v>305</v>
      </c>
      <c r="I194" s="46" t="s">
        <v>114</v>
      </c>
      <c r="J194" s="46"/>
      <c r="K194" s="46"/>
      <c r="L194" s="46" t="s">
        <v>116</v>
      </c>
    </row>
    <row r="195" spans="1:12" x14ac:dyDescent="0.35">
      <c r="A195" s="25"/>
      <c r="B195" s="68" t="str">
        <f t="shared" ref="B195:B245" si="3">CONCATENATE(D195,E195)</f>
        <v>CLT_OBJ_BUS_REF_DTSCLT_OBJ_TO_AR_LINE_ALLOCATION</v>
      </c>
      <c r="C195" s="46">
        <v>0.1</v>
      </c>
      <c r="D195" s="17" t="s">
        <v>318</v>
      </c>
      <c r="E195" s="17" t="s">
        <v>379</v>
      </c>
      <c r="F195" s="58" t="s">
        <v>16</v>
      </c>
      <c r="G195" s="17" t="s">
        <v>4</v>
      </c>
      <c r="H195" s="17" t="s">
        <v>320</v>
      </c>
      <c r="I195" s="46" t="s">
        <v>114</v>
      </c>
      <c r="J195" s="46"/>
      <c r="K195" s="46"/>
      <c r="L195" s="46" t="s">
        <v>116</v>
      </c>
    </row>
    <row r="196" spans="1:12" x14ac:dyDescent="0.35">
      <c r="A196" s="25"/>
      <c r="B196" s="68" t="str">
        <f t="shared" si="3"/>
        <v>CLT_OBJ_NOCLT_OBJ_TO_AR_LINE_ALLOCATION</v>
      </c>
      <c r="C196" s="46">
        <v>0.1</v>
      </c>
      <c r="D196" s="17" t="s">
        <v>321</v>
      </c>
      <c r="E196" s="17" t="s">
        <v>379</v>
      </c>
      <c r="F196" s="17" t="s">
        <v>302</v>
      </c>
      <c r="G196" s="17" t="s">
        <v>4</v>
      </c>
      <c r="H196" s="17" t="s">
        <v>322</v>
      </c>
      <c r="I196" s="46" t="s">
        <v>114</v>
      </c>
      <c r="J196" s="46"/>
      <c r="K196" s="46"/>
      <c r="L196" s="46" t="s">
        <v>116</v>
      </c>
    </row>
    <row r="197" spans="1:12" x14ac:dyDescent="0.35">
      <c r="A197" s="25"/>
      <c r="B197" s="68" t="str">
        <f t="shared" si="3"/>
        <v>CLT_OBJ_SSM_CODECLT_OBJ_TO_AR_LINE_ALLOCATION</v>
      </c>
      <c r="C197" s="46">
        <v>0.1</v>
      </c>
      <c r="D197" s="17" t="s">
        <v>323</v>
      </c>
      <c r="E197" s="17" t="s">
        <v>379</v>
      </c>
      <c r="F197" s="17" t="s">
        <v>14</v>
      </c>
      <c r="G197" s="17" t="s">
        <v>4</v>
      </c>
      <c r="H197" s="17" t="s">
        <v>324</v>
      </c>
      <c r="I197" s="46" t="s">
        <v>114</v>
      </c>
      <c r="J197" s="46"/>
      <c r="K197" s="46"/>
      <c r="L197" s="46" t="s">
        <v>116</v>
      </c>
    </row>
    <row r="198" spans="1:12" x14ac:dyDescent="0.35">
      <c r="A198" s="25"/>
      <c r="B198" s="68" t="str">
        <f t="shared" si="3"/>
        <v>SNGL_CR_ESR_NOExposure_Product_IFRS</v>
      </c>
      <c r="C198" s="46">
        <v>0.2</v>
      </c>
      <c r="D198" s="17" t="s">
        <v>8</v>
      </c>
      <c r="E198" s="17" t="s">
        <v>9</v>
      </c>
      <c r="F198" s="17" t="s">
        <v>10</v>
      </c>
      <c r="G198" s="17" t="s">
        <v>4</v>
      </c>
      <c r="H198" s="73"/>
      <c r="I198" s="17" t="s">
        <v>380</v>
      </c>
      <c r="J198" s="46"/>
      <c r="K198" s="46"/>
      <c r="L198" s="46"/>
    </row>
    <row r="199" spans="1:12" x14ac:dyDescent="0.35">
      <c r="A199" s="25"/>
      <c r="B199" s="68" t="str">
        <f t="shared" si="3"/>
        <v>SNGL_CR_ESR_SSM_CODEExposure_Product_IFRS</v>
      </c>
      <c r="C199" s="46">
        <v>0.2</v>
      </c>
      <c r="D199" s="17" t="s">
        <v>13</v>
      </c>
      <c r="E199" s="17" t="s">
        <v>9</v>
      </c>
      <c r="F199" s="17" t="s">
        <v>14</v>
      </c>
      <c r="G199" s="17" t="s">
        <v>4</v>
      </c>
      <c r="H199" s="17" t="s">
        <v>381</v>
      </c>
      <c r="I199" s="17" t="s">
        <v>380</v>
      </c>
      <c r="J199" s="46"/>
      <c r="K199" s="46"/>
      <c r="L199" s="46"/>
    </row>
    <row r="200" spans="1:12" x14ac:dyDescent="0.35">
      <c r="A200" s="25"/>
      <c r="B200" s="68" t="str">
        <f t="shared" si="3"/>
        <v>SNGL_CR_ESR_BUS_REF_DTSExposure_Product_IFRS</v>
      </c>
      <c r="C200" s="46">
        <v>0.2</v>
      </c>
      <c r="D200" s="17" t="s">
        <v>15</v>
      </c>
      <c r="E200" s="17" t="s">
        <v>9</v>
      </c>
      <c r="F200" s="17" t="s">
        <v>16</v>
      </c>
      <c r="G200" s="17" t="s">
        <v>4</v>
      </c>
      <c r="H200" s="17" t="s">
        <v>381</v>
      </c>
      <c r="I200" s="17" t="s">
        <v>380</v>
      </c>
      <c r="J200" s="46"/>
      <c r="K200" s="46"/>
      <c r="L200" s="46"/>
    </row>
    <row r="201" spans="1:12" x14ac:dyDescent="0.35">
      <c r="A201" s="25"/>
      <c r="B201" s="68" t="str">
        <f t="shared" si="3"/>
        <v>SNGL_CR_ESR_LVL_CODEExposure_Product_IFRS</v>
      </c>
      <c r="C201" s="46">
        <v>0.2</v>
      </c>
      <c r="D201" s="17" t="s">
        <v>17</v>
      </c>
      <c r="E201" s="17" t="s">
        <v>9</v>
      </c>
      <c r="F201" s="17" t="s">
        <v>18</v>
      </c>
      <c r="G201" s="17" t="s">
        <v>4</v>
      </c>
      <c r="H201" s="17" t="s">
        <v>381</v>
      </c>
      <c r="I201" s="17" t="s">
        <v>380</v>
      </c>
      <c r="J201" s="46"/>
      <c r="K201" s="46"/>
      <c r="L201" s="46"/>
    </row>
    <row r="202" spans="1:12" x14ac:dyDescent="0.35">
      <c r="A202" s="25"/>
      <c r="B202" s="68" t="str">
        <f t="shared" si="3"/>
        <v>SNGL_CR_ESR_ASSMT_NOExposure_Product_IFRS</v>
      </c>
      <c r="C202" s="46">
        <v>0.2</v>
      </c>
      <c r="D202" s="17" t="s">
        <v>19</v>
      </c>
      <c r="E202" s="17" t="s">
        <v>9</v>
      </c>
      <c r="F202" s="17" t="s">
        <v>20</v>
      </c>
      <c r="G202" s="17" t="s">
        <v>4</v>
      </c>
      <c r="H202" s="17" t="s">
        <v>381</v>
      </c>
      <c r="I202" s="17" t="s">
        <v>380</v>
      </c>
      <c r="J202" s="46"/>
      <c r="K202" s="46"/>
      <c r="L202" s="46"/>
    </row>
    <row r="203" spans="1:12" x14ac:dyDescent="0.35">
      <c r="A203" s="25"/>
      <c r="B203" s="68" t="str">
        <f t="shared" si="3"/>
        <v>SNGL_CR_ESR_ASSMT_SSM_CODEExposure_Product_IFRS</v>
      </c>
      <c r="C203" s="46">
        <v>0.2</v>
      </c>
      <c r="D203" s="17" t="s">
        <v>21</v>
      </c>
      <c r="E203" s="17" t="s">
        <v>9</v>
      </c>
      <c r="F203" s="17" t="s">
        <v>14</v>
      </c>
      <c r="G203" s="17" t="s">
        <v>4</v>
      </c>
      <c r="H203" s="17" t="s">
        <v>382</v>
      </c>
      <c r="I203" s="17" t="s">
        <v>380</v>
      </c>
      <c r="J203" s="46"/>
      <c r="K203" s="46"/>
      <c r="L203" s="46"/>
    </row>
    <row r="204" spans="1:12" x14ac:dyDescent="0.35">
      <c r="A204" s="25"/>
      <c r="B204" s="68" t="str">
        <f t="shared" si="3"/>
        <v>SNGL_CR_ESR_SCENARIO_NAMEExposure_Product_IFRS</v>
      </c>
      <c r="C204" s="46">
        <v>0.2</v>
      </c>
      <c r="D204" s="17" t="s">
        <v>22</v>
      </c>
      <c r="E204" s="17" t="s">
        <v>9</v>
      </c>
      <c r="F204" s="17" t="s">
        <v>18</v>
      </c>
      <c r="G204" s="17" t="s">
        <v>4</v>
      </c>
      <c r="H204" s="17" t="s">
        <v>383</v>
      </c>
      <c r="I204" s="17" t="s">
        <v>380</v>
      </c>
      <c r="J204" s="46"/>
      <c r="K204" s="46"/>
      <c r="L204" s="46"/>
    </row>
    <row r="205" spans="1:12" x14ac:dyDescent="0.35">
      <c r="A205" s="25"/>
      <c r="B205" s="68" t="str">
        <f t="shared" si="3"/>
        <v>SNGL_CR_ESR_COREP_EXP_TP_CODEExposure_Product_IFRS</v>
      </c>
      <c r="C205" s="46">
        <v>0.2</v>
      </c>
      <c r="D205" s="17" t="s">
        <v>23</v>
      </c>
      <c r="E205" s="17" t="s">
        <v>9</v>
      </c>
      <c r="F205" s="17" t="s">
        <v>14</v>
      </c>
      <c r="G205" s="17" t="s">
        <v>4</v>
      </c>
      <c r="H205" s="17" t="s">
        <v>384</v>
      </c>
      <c r="I205" s="17" t="s">
        <v>380</v>
      </c>
      <c r="J205" s="46"/>
      <c r="K205" s="46"/>
      <c r="L205" s="46"/>
    </row>
    <row r="206" spans="1:12" x14ac:dyDescent="0.35">
      <c r="A206" s="25"/>
      <c r="B206" s="68" t="str">
        <f t="shared" si="3"/>
        <v>SNGL_CR_ESR_SPF_PRVNS_AMTExposure_Product_IFRS</v>
      </c>
      <c r="C206" s="46">
        <v>0.2</v>
      </c>
      <c r="D206" s="17" t="s">
        <v>24</v>
      </c>
      <c r="E206" s="17" t="s">
        <v>9</v>
      </c>
      <c r="F206" s="17" t="s">
        <v>25</v>
      </c>
      <c r="G206" s="56"/>
      <c r="H206" s="17" t="s">
        <v>385</v>
      </c>
      <c r="I206" s="17" t="s">
        <v>380</v>
      </c>
      <c r="J206" s="46"/>
      <c r="K206" s="46"/>
      <c r="L206" s="46"/>
    </row>
    <row r="207" spans="1:12" x14ac:dyDescent="0.35">
      <c r="A207" s="25"/>
      <c r="B207" s="68" t="str">
        <f t="shared" si="3"/>
        <v>SNGL_CR_ESR_STAGE_CODEExposure_Product_IFRS</v>
      </c>
      <c r="C207" s="46">
        <v>0.2</v>
      </c>
      <c r="D207" s="17" t="s">
        <v>26</v>
      </c>
      <c r="E207" s="17" t="s">
        <v>9</v>
      </c>
      <c r="F207" s="17" t="s">
        <v>27</v>
      </c>
      <c r="G207" s="56"/>
      <c r="H207" s="17" t="s">
        <v>386</v>
      </c>
      <c r="I207" s="17" t="s">
        <v>380</v>
      </c>
      <c r="J207" s="46"/>
      <c r="K207" s="46"/>
      <c r="L207" s="46"/>
    </row>
    <row r="208" spans="1:12" x14ac:dyDescent="0.35">
      <c r="A208" s="25"/>
      <c r="B208" s="68" t="str">
        <f t="shared" si="3"/>
        <v>SNGL_CR_ESR_MM_BCKT_CODEExposure_Product_IFRS</v>
      </c>
      <c r="C208" s="46">
        <v>0.2</v>
      </c>
      <c r="D208" s="17" t="s">
        <v>28</v>
      </c>
      <c r="E208" s="17" t="s">
        <v>9</v>
      </c>
      <c r="F208" s="17" t="s">
        <v>18</v>
      </c>
      <c r="G208" s="56"/>
      <c r="H208" s="17" t="s">
        <v>387</v>
      </c>
      <c r="I208" s="17" t="s">
        <v>380</v>
      </c>
      <c r="J208" s="46"/>
      <c r="K208" s="46"/>
      <c r="L208" s="46"/>
    </row>
    <row r="209" spans="1:12" x14ac:dyDescent="0.35">
      <c r="A209" s="25"/>
      <c r="B209" s="68" t="str">
        <f t="shared" si="3"/>
        <v>SNGL_CR_ESR_MM_Z_FCTR_SGMNT_CODEExposure_Product_IFRS</v>
      </c>
      <c r="C209" s="46">
        <v>0.2</v>
      </c>
      <c r="D209" s="17" t="s">
        <v>29</v>
      </c>
      <c r="E209" s="17" t="s">
        <v>9</v>
      </c>
      <c r="F209" s="17" t="s">
        <v>18</v>
      </c>
      <c r="G209" s="56"/>
      <c r="H209" s="17" t="s">
        <v>388</v>
      </c>
      <c r="I209" s="17" t="s">
        <v>380</v>
      </c>
      <c r="J209" s="46"/>
      <c r="K209" s="46"/>
      <c r="L209" s="46"/>
    </row>
    <row r="210" spans="1:12" x14ac:dyDescent="0.35">
      <c r="A210" s="25"/>
      <c r="B210" s="68" t="str">
        <f t="shared" si="3"/>
        <v>SNGL_CR_ESR_MM_SGMNT_CODEExposure_Product_IFRS</v>
      </c>
      <c r="C210" s="46">
        <v>0.2</v>
      </c>
      <c r="D210" s="22" t="s">
        <v>30</v>
      </c>
      <c r="E210" s="22" t="s">
        <v>9</v>
      </c>
      <c r="F210" s="17" t="s">
        <v>18</v>
      </c>
      <c r="G210" s="56"/>
      <c r="H210" s="17" t="s">
        <v>389</v>
      </c>
      <c r="I210" s="17" t="s">
        <v>380</v>
      </c>
      <c r="J210" s="46"/>
      <c r="K210" s="46"/>
      <c r="L210" s="46"/>
    </row>
    <row r="211" spans="1:12" x14ac:dyDescent="0.35">
      <c r="A211" s="25"/>
      <c r="B211" s="68" t="str">
        <f t="shared" si="3"/>
        <v>SNGL_CR_ESR_MES_CTY_CODEExposure_Product_IFRS</v>
      </c>
      <c r="C211" s="46">
        <v>0.2</v>
      </c>
      <c r="D211" s="17" t="s">
        <v>31</v>
      </c>
      <c r="E211" s="17" t="s">
        <v>9</v>
      </c>
      <c r="F211" s="22" t="s">
        <v>18</v>
      </c>
      <c r="G211" s="56"/>
      <c r="H211" s="17" t="s">
        <v>390</v>
      </c>
      <c r="I211" s="17" t="s">
        <v>380</v>
      </c>
      <c r="J211" s="46"/>
      <c r="K211" s="46"/>
      <c r="L211" s="46"/>
    </row>
    <row r="212" spans="1:12" x14ac:dyDescent="0.35">
      <c r="A212" s="25"/>
      <c r="B212" s="68" t="str">
        <f t="shared" si="3"/>
        <v>SNGL_CR_ESR_LFTM_END_CALCExposure_Product_IFRS</v>
      </c>
      <c r="C212" s="46">
        <v>0.2</v>
      </c>
      <c r="D212" s="17" t="s">
        <v>32</v>
      </c>
      <c r="E212" s="17" t="s">
        <v>9</v>
      </c>
      <c r="F212" s="22" t="s">
        <v>33</v>
      </c>
      <c r="G212" s="56"/>
      <c r="H212" s="17" t="s">
        <v>391</v>
      </c>
      <c r="I212" s="17" t="s">
        <v>380</v>
      </c>
      <c r="J212" s="46"/>
      <c r="K212" s="46"/>
      <c r="L212" s="46"/>
    </row>
    <row r="213" spans="1:12" x14ac:dyDescent="0.35">
      <c r="A213" s="25"/>
      <c r="B213" s="68" t="str">
        <f t="shared" si="3"/>
        <v>SNGL_CR_ESR_NOExposure_Product_Marginal_IFRS</v>
      </c>
      <c r="C213" s="46">
        <v>0.2</v>
      </c>
      <c r="D213" s="17" t="s">
        <v>8</v>
      </c>
      <c r="E213" s="17" t="s">
        <v>34</v>
      </c>
      <c r="F213" s="17" t="s">
        <v>10</v>
      </c>
      <c r="G213" s="17" t="s">
        <v>4</v>
      </c>
      <c r="H213" s="17" t="s">
        <v>392</v>
      </c>
      <c r="I213" s="17" t="s">
        <v>380</v>
      </c>
      <c r="J213" s="46"/>
      <c r="K213" s="46"/>
      <c r="L213" s="46"/>
    </row>
    <row r="214" spans="1:12" x14ac:dyDescent="0.35">
      <c r="A214" s="25"/>
      <c r="B214" s="68" t="str">
        <f t="shared" si="3"/>
        <v>SNGL_CR_ESR_SSM_CODEExposure_Product_Marginal_IFRS</v>
      </c>
      <c r="C214" s="46">
        <v>0.2</v>
      </c>
      <c r="D214" s="17" t="s">
        <v>13</v>
      </c>
      <c r="E214" s="17" t="s">
        <v>34</v>
      </c>
      <c r="F214" s="17" t="s">
        <v>14</v>
      </c>
      <c r="G214" s="17" t="s">
        <v>4</v>
      </c>
      <c r="H214" s="17" t="s">
        <v>381</v>
      </c>
      <c r="I214" s="17" t="s">
        <v>380</v>
      </c>
      <c r="J214" s="46"/>
      <c r="K214" s="46"/>
      <c r="L214" s="46"/>
    </row>
    <row r="215" spans="1:12" x14ac:dyDescent="0.35">
      <c r="A215" s="25"/>
      <c r="B215" s="68" t="str">
        <f t="shared" si="3"/>
        <v>SNGL_CR_ESR_ASSMT_NOExposure_Product_Marginal_IFRS</v>
      </c>
      <c r="C215" s="46">
        <v>0.2</v>
      </c>
      <c r="D215" s="17" t="s">
        <v>19</v>
      </c>
      <c r="E215" s="17" t="s">
        <v>34</v>
      </c>
      <c r="F215" s="17" t="s">
        <v>20</v>
      </c>
      <c r="G215" s="17" t="s">
        <v>4</v>
      </c>
      <c r="H215" s="17" t="s">
        <v>381</v>
      </c>
      <c r="I215" s="17" t="s">
        <v>380</v>
      </c>
      <c r="J215" s="46"/>
      <c r="K215" s="46"/>
      <c r="L215" s="46"/>
    </row>
    <row r="216" spans="1:12" x14ac:dyDescent="0.35">
      <c r="A216" s="25"/>
      <c r="B216" s="68" t="str">
        <f t="shared" si="3"/>
        <v>SNGL_CR_ESR_ASSMT_SSM_CODEExposure_Product_Marginal_IFRS</v>
      </c>
      <c r="C216" s="46">
        <v>0.2</v>
      </c>
      <c r="D216" s="17" t="s">
        <v>21</v>
      </c>
      <c r="E216" s="17" t="s">
        <v>34</v>
      </c>
      <c r="F216" s="17" t="s">
        <v>14</v>
      </c>
      <c r="G216" s="17" t="s">
        <v>4</v>
      </c>
      <c r="H216" s="17" t="s">
        <v>381</v>
      </c>
      <c r="I216" s="17" t="s">
        <v>380</v>
      </c>
      <c r="J216" s="46"/>
      <c r="K216" s="46"/>
      <c r="L216" s="46"/>
    </row>
    <row r="217" spans="1:12" x14ac:dyDescent="0.35">
      <c r="A217" s="25"/>
      <c r="B217" s="68" t="str">
        <f t="shared" si="3"/>
        <v>SNGL_CR_ESR_BUS_REF_DTSExposure_Product_Marginal_IFRS</v>
      </c>
      <c r="C217" s="46">
        <v>0.2</v>
      </c>
      <c r="D217" s="17" t="s">
        <v>15</v>
      </c>
      <c r="E217" s="17" t="s">
        <v>34</v>
      </c>
      <c r="F217" s="17" t="s">
        <v>16</v>
      </c>
      <c r="G217" s="17" t="s">
        <v>4</v>
      </c>
      <c r="H217" s="17" t="s">
        <v>381</v>
      </c>
      <c r="I217" s="17" t="s">
        <v>380</v>
      </c>
      <c r="J217" s="46"/>
      <c r="K217" s="46"/>
      <c r="L217" s="46"/>
    </row>
    <row r="218" spans="1:12" x14ac:dyDescent="0.35">
      <c r="A218" s="25"/>
      <c r="B218" s="68" t="str">
        <f t="shared" si="3"/>
        <v>SNGL_CR_ESR_LVL_CODEExposure_Product_Marginal_IFRS</v>
      </c>
      <c r="C218" s="46">
        <v>0.2</v>
      </c>
      <c r="D218" s="17" t="s">
        <v>17</v>
      </c>
      <c r="E218" s="17" t="s">
        <v>34</v>
      </c>
      <c r="F218" s="17" t="s">
        <v>18</v>
      </c>
      <c r="G218" s="17" t="s">
        <v>4</v>
      </c>
      <c r="H218" s="17" t="s">
        <v>381</v>
      </c>
      <c r="I218" s="17" t="s">
        <v>380</v>
      </c>
      <c r="J218" s="46"/>
      <c r="K218" s="46"/>
      <c r="L218" s="46"/>
    </row>
    <row r="219" spans="1:12" x14ac:dyDescent="0.35">
      <c r="A219" s="25"/>
      <c r="B219" s="68" t="str">
        <f t="shared" si="3"/>
        <v>SNGL_CR_ESR_SEQ_NOExposure_Product_Marginal_IFRS</v>
      </c>
      <c r="C219" s="46">
        <v>0.2</v>
      </c>
      <c r="D219" s="17" t="s">
        <v>35</v>
      </c>
      <c r="E219" s="17" t="s">
        <v>34</v>
      </c>
      <c r="F219" s="17" t="s">
        <v>36</v>
      </c>
      <c r="G219" s="17" t="s">
        <v>4</v>
      </c>
      <c r="H219" s="17" t="s">
        <v>381</v>
      </c>
      <c r="I219" s="17" t="s">
        <v>380</v>
      </c>
      <c r="J219" s="46"/>
      <c r="K219" s="46"/>
      <c r="L219" s="46"/>
    </row>
    <row r="220" spans="1:12" x14ac:dyDescent="0.35">
      <c r="A220" s="25"/>
      <c r="B220" s="68" t="str">
        <f t="shared" si="3"/>
        <v>SNGL_CR_ESR_SCENARIO_NAMEExposure_Product_Marginal_IFRS</v>
      </c>
      <c r="C220" s="46">
        <v>0.2</v>
      </c>
      <c r="D220" s="17" t="s">
        <v>22</v>
      </c>
      <c r="E220" s="17" t="s">
        <v>34</v>
      </c>
      <c r="F220" s="17" t="s">
        <v>18</v>
      </c>
      <c r="G220" s="17" t="s">
        <v>4</v>
      </c>
      <c r="H220" s="17" t="s">
        <v>393</v>
      </c>
      <c r="I220" s="17" t="s">
        <v>380</v>
      </c>
      <c r="J220" s="46"/>
      <c r="K220" s="46"/>
      <c r="L220" s="46"/>
    </row>
    <row r="221" spans="1:12" x14ac:dyDescent="0.35">
      <c r="A221" s="25"/>
      <c r="B221" s="68" t="str">
        <f t="shared" si="3"/>
        <v>SNGL_CR_ESR_COREP_EXP_TP_CODEExposure_Product_Marginal_IFRS</v>
      </c>
      <c r="C221" s="46">
        <v>0.2</v>
      </c>
      <c r="D221" s="17" t="s">
        <v>23</v>
      </c>
      <c r="E221" s="17" t="s">
        <v>34</v>
      </c>
      <c r="F221" s="17" t="s">
        <v>14</v>
      </c>
      <c r="G221" s="17" t="s">
        <v>4</v>
      </c>
      <c r="H221" s="17" t="s">
        <v>381</v>
      </c>
      <c r="I221" s="17" t="s">
        <v>380</v>
      </c>
      <c r="J221" s="46"/>
      <c r="K221" s="46"/>
      <c r="L221" s="46"/>
    </row>
    <row r="222" spans="1:12" x14ac:dyDescent="0.35">
      <c r="A222" s="25"/>
      <c r="B222" s="68" t="str">
        <f t="shared" si="3"/>
        <v>SNGL_CR_ESR_INTERM_CURE_RATEExposure_Product_Marginal_IFRS</v>
      </c>
      <c r="C222" s="46">
        <v>0.2</v>
      </c>
      <c r="D222" s="17" t="s">
        <v>37</v>
      </c>
      <c r="E222" s="17" t="s">
        <v>34</v>
      </c>
      <c r="F222" s="17" t="s">
        <v>38</v>
      </c>
      <c r="G222" s="56"/>
      <c r="H222" s="17" t="s">
        <v>381</v>
      </c>
      <c r="I222" s="17" t="s">
        <v>380</v>
      </c>
      <c r="J222" s="46"/>
      <c r="K222" s="46"/>
      <c r="L222" s="46"/>
    </row>
    <row r="223" spans="1:12" x14ac:dyDescent="0.35">
      <c r="A223" s="25"/>
      <c r="B223" s="68" t="str">
        <f t="shared" si="3"/>
        <v>SNGL_CR_ESR_INTERM_EADExposure_Product_Marginal_IFRS</v>
      </c>
      <c r="C223" s="46">
        <v>0.2</v>
      </c>
      <c r="D223" s="17" t="s">
        <v>39</v>
      </c>
      <c r="E223" s="17" t="s">
        <v>34</v>
      </c>
      <c r="F223" s="17" t="s">
        <v>25</v>
      </c>
      <c r="G223" s="56"/>
      <c r="H223" s="17" t="s">
        <v>381</v>
      </c>
      <c r="I223" s="17" t="s">
        <v>380</v>
      </c>
      <c r="J223" s="46"/>
      <c r="K223" s="46"/>
      <c r="L223" s="46"/>
    </row>
    <row r="224" spans="1:12" x14ac:dyDescent="0.35">
      <c r="A224" s="25"/>
      <c r="B224" s="68" t="str">
        <f t="shared" si="3"/>
        <v>SNGL_CR_ESR_INTERM_LGDExposure_Product_Marginal_IFRS</v>
      </c>
      <c r="C224" s="46">
        <v>0.2</v>
      </c>
      <c r="D224" s="17" t="s">
        <v>40</v>
      </c>
      <c r="E224" s="17" t="s">
        <v>34</v>
      </c>
      <c r="F224" s="17" t="s">
        <v>38</v>
      </c>
      <c r="G224" s="56"/>
      <c r="H224" s="17" t="s">
        <v>394</v>
      </c>
      <c r="I224" s="17" t="s">
        <v>380</v>
      </c>
      <c r="J224" s="46"/>
      <c r="K224" s="46"/>
      <c r="L224" s="46"/>
    </row>
    <row r="225" spans="1:12" x14ac:dyDescent="0.35">
      <c r="A225" s="25"/>
      <c r="B225" s="68" t="str">
        <f t="shared" si="3"/>
        <v>SNGL_CR_ESR_INTERM_PDExposure_Product_Marginal_IFRS</v>
      </c>
      <c r="C225" s="46">
        <v>0.2</v>
      </c>
      <c r="D225" s="17" t="s">
        <v>41</v>
      </c>
      <c r="E225" s="17" t="s">
        <v>34</v>
      </c>
      <c r="F225" s="17" t="s">
        <v>38</v>
      </c>
      <c r="G225" s="56"/>
      <c r="H225" s="17" t="s">
        <v>395</v>
      </c>
      <c r="I225" s="17" t="s">
        <v>380</v>
      </c>
      <c r="J225" s="46"/>
      <c r="K225" s="46"/>
      <c r="L225" s="46"/>
    </row>
    <row r="226" spans="1:12" x14ac:dyDescent="0.35">
      <c r="A226" s="25"/>
      <c r="B226" s="68" t="str">
        <f t="shared" si="3"/>
        <v>FITCH_ISSUR_DMST_CCY_RTGObligor</v>
      </c>
      <c r="C226" s="46" t="s">
        <v>42</v>
      </c>
      <c r="D226" s="17" t="s">
        <v>43</v>
      </c>
      <c r="E226" s="17" t="s">
        <v>44</v>
      </c>
      <c r="F226" s="17" t="s">
        <v>45</v>
      </c>
      <c r="G226" s="17"/>
      <c r="H226" s="17"/>
      <c r="I226" s="46" t="s">
        <v>114</v>
      </c>
      <c r="J226" s="17" t="s">
        <v>179</v>
      </c>
      <c r="K226" s="17" t="s">
        <v>396</v>
      </c>
      <c r="L226" s="17" t="s">
        <v>116</v>
      </c>
    </row>
    <row r="227" spans="1:12" x14ac:dyDescent="0.35">
      <c r="A227" s="25"/>
      <c r="B227" s="68" t="str">
        <f t="shared" si="3"/>
        <v>MOODYS_ISSUR_DMST_CCY_RTGObligor</v>
      </c>
      <c r="C227" s="46" t="s">
        <v>42</v>
      </c>
      <c r="D227" s="17" t="s">
        <v>47</v>
      </c>
      <c r="E227" s="17" t="s">
        <v>44</v>
      </c>
      <c r="F227" s="17" t="s">
        <v>45</v>
      </c>
      <c r="G227" s="17"/>
      <c r="H227" s="17"/>
      <c r="I227" s="46" t="s">
        <v>114</v>
      </c>
      <c r="J227" s="17" t="s">
        <v>179</v>
      </c>
      <c r="K227" s="17" t="s">
        <v>397</v>
      </c>
      <c r="L227" s="17" t="s">
        <v>116</v>
      </c>
    </row>
    <row r="228" spans="1:12" x14ac:dyDescent="0.35">
      <c r="A228" s="25"/>
      <c r="B228" s="68" t="str">
        <f t="shared" si="3"/>
        <v>STD_POORS_ISSUR_DMST_CCY_RTGObligor</v>
      </c>
      <c r="C228" s="46" t="s">
        <v>42</v>
      </c>
      <c r="D228" s="17" t="s">
        <v>49</v>
      </c>
      <c r="E228" s="17" t="s">
        <v>44</v>
      </c>
      <c r="F228" s="17" t="s">
        <v>45</v>
      </c>
      <c r="G228" s="17"/>
      <c r="H228" s="17"/>
      <c r="I228" s="46" t="s">
        <v>114</v>
      </c>
      <c r="J228" s="17" t="s">
        <v>179</v>
      </c>
      <c r="K228" s="17" t="s">
        <v>398</v>
      </c>
      <c r="L228" s="17" t="s">
        <v>116</v>
      </c>
    </row>
    <row r="229" spans="1:12" x14ac:dyDescent="0.35">
      <c r="A229" s="25"/>
      <c r="B229" s="68" t="str">
        <f t="shared" si="3"/>
        <v>FITCH_ISSUR_FRGN_CCY_RTGObligor</v>
      </c>
      <c r="C229" s="46" t="s">
        <v>42</v>
      </c>
      <c r="D229" s="17" t="s">
        <v>51</v>
      </c>
      <c r="E229" s="17" t="s">
        <v>44</v>
      </c>
      <c r="F229" s="17" t="s">
        <v>45</v>
      </c>
      <c r="G229" s="57"/>
      <c r="H229" s="17"/>
      <c r="I229" s="46" t="s">
        <v>114</v>
      </c>
      <c r="J229" s="17" t="s">
        <v>179</v>
      </c>
      <c r="K229" s="17" t="s">
        <v>399</v>
      </c>
      <c r="L229" s="17" t="s">
        <v>116</v>
      </c>
    </row>
    <row r="230" spans="1:12" x14ac:dyDescent="0.35">
      <c r="A230" s="25"/>
      <c r="B230" s="68" t="str">
        <f t="shared" si="3"/>
        <v>MOODYS_ISSUR_FRGN_CCY_RTGObligor</v>
      </c>
      <c r="C230" s="46" t="s">
        <v>42</v>
      </c>
      <c r="D230" s="17" t="s">
        <v>53</v>
      </c>
      <c r="E230" s="17" t="s">
        <v>44</v>
      </c>
      <c r="F230" s="17" t="s">
        <v>45</v>
      </c>
      <c r="G230" s="17"/>
      <c r="H230" s="17"/>
      <c r="I230" s="46" t="s">
        <v>114</v>
      </c>
      <c r="J230" s="17" t="s">
        <v>179</v>
      </c>
      <c r="K230" s="17" t="s">
        <v>400</v>
      </c>
      <c r="L230" s="17" t="s">
        <v>116</v>
      </c>
    </row>
    <row r="231" spans="1:12" x14ac:dyDescent="0.35">
      <c r="A231" s="25"/>
      <c r="B231" s="68" t="str">
        <f t="shared" si="3"/>
        <v>STD_POORS_ISSUR_FRGN_CCY_RTGObligor</v>
      </c>
      <c r="C231" s="46" t="s">
        <v>42</v>
      </c>
      <c r="D231" s="17" t="s">
        <v>55</v>
      </c>
      <c r="E231" s="17" t="s">
        <v>44</v>
      </c>
      <c r="F231" s="17" t="s">
        <v>45</v>
      </c>
      <c r="G231" s="17"/>
      <c r="H231" s="17"/>
      <c r="I231" s="46" t="s">
        <v>114</v>
      </c>
      <c r="J231" s="17" t="s">
        <v>179</v>
      </c>
      <c r="K231" s="17" t="s">
        <v>401</v>
      </c>
      <c r="L231" s="17" t="s">
        <v>116</v>
      </c>
    </row>
    <row r="232" spans="1:12" x14ac:dyDescent="0.35">
      <c r="A232" s="25"/>
      <c r="B232" s="68" t="str">
        <f t="shared" si="3"/>
        <v>FITCH_SOV_ISSUR_DMST_CCY_RTGObligor</v>
      </c>
      <c r="C232" s="46" t="s">
        <v>42</v>
      </c>
      <c r="D232" s="17" t="s">
        <v>57</v>
      </c>
      <c r="E232" s="17" t="s">
        <v>44</v>
      </c>
      <c r="F232" s="17" t="s">
        <v>45</v>
      </c>
      <c r="G232" s="17"/>
      <c r="H232" s="17"/>
      <c r="I232" s="46" t="s">
        <v>114</v>
      </c>
      <c r="J232" s="17" t="s">
        <v>179</v>
      </c>
      <c r="K232" s="17" t="s">
        <v>402</v>
      </c>
      <c r="L232" s="17" t="s">
        <v>116</v>
      </c>
    </row>
    <row r="233" spans="1:12" x14ac:dyDescent="0.35">
      <c r="A233" s="25"/>
      <c r="B233" s="68" t="str">
        <f t="shared" si="3"/>
        <v>MOODYS_SOV_ISSUR_DMST_CCY_RTGObligor</v>
      </c>
      <c r="C233" s="46" t="s">
        <v>42</v>
      </c>
      <c r="D233" s="17" t="s">
        <v>59</v>
      </c>
      <c r="E233" s="17" t="s">
        <v>44</v>
      </c>
      <c r="F233" s="17" t="s">
        <v>45</v>
      </c>
      <c r="G233" s="17"/>
      <c r="H233" s="17"/>
      <c r="I233" s="46" t="s">
        <v>114</v>
      </c>
      <c r="J233" s="17" t="s">
        <v>179</v>
      </c>
      <c r="K233" s="17" t="s">
        <v>403</v>
      </c>
      <c r="L233" s="17" t="s">
        <v>116</v>
      </c>
    </row>
    <row r="234" spans="1:12" x14ac:dyDescent="0.35">
      <c r="A234" s="25"/>
      <c r="B234" s="68" t="str">
        <f t="shared" si="3"/>
        <v>STD_POORS_SOV_ISSUR_DMST_SOV_CCY_RTGObligor</v>
      </c>
      <c r="C234" s="46" t="s">
        <v>42</v>
      </c>
      <c r="D234" s="17" t="s">
        <v>61</v>
      </c>
      <c r="E234" s="17" t="s">
        <v>44</v>
      </c>
      <c r="F234" s="17" t="s">
        <v>45</v>
      </c>
      <c r="G234" s="17"/>
      <c r="H234" s="17"/>
      <c r="I234" s="46" t="s">
        <v>114</v>
      </c>
      <c r="J234" s="17" t="s">
        <v>179</v>
      </c>
      <c r="K234" s="17" t="s">
        <v>404</v>
      </c>
      <c r="L234" s="17" t="s">
        <v>116</v>
      </c>
    </row>
    <row r="235" spans="1:12" x14ac:dyDescent="0.35">
      <c r="A235" s="25"/>
      <c r="B235" s="68" t="str">
        <f t="shared" si="3"/>
        <v>REG_FCY_PRTFLRegulatory_Facility</v>
      </c>
      <c r="C235" s="17">
        <v>0.1</v>
      </c>
      <c r="D235" s="17" t="s">
        <v>405</v>
      </c>
      <c r="E235" s="17" t="s">
        <v>93</v>
      </c>
      <c r="F235" s="17" t="s">
        <v>14</v>
      </c>
      <c r="G235" s="17"/>
      <c r="H235" s="17"/>
      <c r="I235" s="46" t="s">
        <v>114</v>
      </c>
      <c r="J235" s="17" t="s">
        <v>93</v>
      </c>
      <c r="K235" s="17" t="s">
        <v>406</v>
      </c>
      <c r="L235" s="46" t="s">
        <v>114</v>
      </c>
    </row>
    <row r="236" spans="1:12" x14ac:dyDescent="0.35">
      <c r="A236" s="25"/>
      <c r="B236" s="68" t="str">
        <f t="shared" si="3"/>
        <v>SCE_AGRM_LVG_TXN_FSCE_Agreement</v>
      </c>
      <c r="C236" s="46" t="s">
        <v>7</v>
      </c>
      <c r="D236" s="44" t="s">
        <v>63</v>
      </c>
      <c r="E236" s="22" t="s">
        <v>64</v>
      </c>
      <c r="F236" s="58" t="s">
        <v>65</v>
      </c>
      <c r="G236" s="58"/>
      <c r="H236" s="17" t="s">
        <v>407</v>
      </c>
      <c r="I236" s="46" t="s">
        <v>114</v>
      </c>
      <c r="J236" s="46"/>
      <c r="K236" s="46"/>
      <c r="L236" s="46" t="s">
        <v>114</v>
      </c>
    </row>
    <row r="237" spans="1:12" x14ac:dyDescent="0.35">
      <c r="A237" s="25"/>
      <c r="B237" s="68" t="str">
        <f t="shared" si="3"/>
        <v>SCE_AGRM_HIGH_LVG_TXN_FSCE_Agreement</v>
      </c>
      <c r="C237" s="46" t="s">
        <v>7</v>
      </c>
      <c r="D237" s="44" t="s">
        <v>66</v>
      </c>
      <c r="E237" s="22" t="s">
        <v>64</v>
      </c>
      <c r="F237" s="58" t="s">
        <v>65</v>
      </c>
      <c r="G237" s="58"/>
      <c r="H237" s="17" t="s">
        <v>408</v>
      </c>
      <c r="I237" s="46" t="s">
        <v>114</v>
      </c>
      <c r="J237" s="46"/>
      <c r="K237" s="46"/>
      <c r="L237" s="46" t="s">
        <v>114</v>
      </c>
    </row>
    <row r="238" spans="1:12" x14ac:dyDescent="0.35">
      <c r="A238" s="25"/>
      <c r="B238" s="68" t="str">
        <f t="shared" si="3"/>
        <v>SCE_AGRM_STAGE_CURRENT_PERIOD_CODESCE_Agreement</v>
      </c>
      <c r="C238" s="46" t="s">
        <v>7</v>
      </c>
      <c r="D238" s="51" t="s">
        <v>67</v>
      </c>
      <c r="E238" s="22" t="s">
        <v>64</v>
      </c>
      <c r="F238" s="58" t="s">
        <v>68</v>
      </c>
      <c r="G238" s="58"/>
      <c r="H238" s="17" t="s">
        <v>409</v>
      </c>
      <c r="I238" s="46" t="s">
        <v>410</v>
      </c>
      <c r="J238" s="46"/>
      <c r="K238" s="46"/>
      <c r="L238" s="46" t="s">
        <v>116</v>
      </c>
    </row>
    <row r="239" spans="1:12" x14ac:dyDescent="0.35">
      <c r="A239" s="25"/>
      <c r="B239" s="68" t="str">
        <f t="shared" si="3"/>
        <v>SCE_AGRM_ORIGINATING_ENTITY_IDSCE_Agreement</v>
      </c>
      <c r="C239" s="46" t="s">
        <v>7</v>
      </c>
      <c r="D239" s="44" t="s">
        <v>69</v>
      </c>
      <c r="E239" s="22" t="s">
        <v>64</v>
      </c>
      <c r="F239" s="58" t="s">
        <v>70</v>
      </c>
      <c r="G239" s="58"/>
      <c r="H239" s="17" t="s">
        <v>411</v>
      </c>
      <c r="I239" s="46" t="s">
        <v>114</v>
      </c>
      <c r="J239" s="46"/>
      <c r="K239" s="46"/>
      <c r="L239" s="46" t="s">
        <v>114</v>
      </c>
    </row>
    <row r="240" spans="1:12" x14ac:dyDescent="0.35">
      <c r="A240" s="25"/>
      <c r="B240" s="68" t="str">
        <f t="shared" si="3"/>
        <v>SCE_PD_ORIGINATING_ENTITY_IDSCE_Product</v>
      </c>
      <c r="C240" s="46" t="s">
        <v>7</v>
      </c>
      <c r="D240" s="44" t="s">
        <v>71</v>
      </c>
      <c r="E240" s="22" t="s">
        <v>72</v>
      </c>
      <c r="F240" s="58" t="s">
        <v>70</v>
      </c>
      <c r="G240" s="58"/>
      <c r="H240" t="s">
        <v>412</v>
      </c>
      <c r="I240" s="46" t="s">
        <v>114</v>
      </c>
      <c r="J240" s="46"/>
      <c r="K240" s="46"/>
      <c r="L240" s="46" t="s">
        <v>114</v>
      </c>
    </row>
    <row r="241" spans="1:12" x14ac:dyDescent="0.35">
      <c r="A241" s="25"/>
      <c r="B241" s="68" t="str">
        <f t="shared" si="3"/>
        <v>SCE_PD_LVG_TXN_FSCE_Product</v>
      </c>
      <c r="C241" s="46" t="s">
        <v>7</v>
      </c>
      <c r="D241" s="44" t="s">
        <v>73</v>
      </c>
      <c r="E241" s="22" t="s">
        <v>72</v>
      </c>
      <c r="F241" s="58" t="s">
        <v>65</v>
      </c>
      <c r="G241" s="58"/>
      <c r="H241" s="17" t="s">
        <v>413</v>
      </c>
      <c r="I241" s="46" t="s">
        <v>114</v>
      </c>
      <c r="J241" s="46"/>
      <c r="K241" s="46"/>
      <c r="L241" s="46" t="s">
        <v>114</v>
      </c>
    </row>
    <row r="242" spans="1:12" x14ac:dyDescent="0.35">
      <c r="A242" s="25"/>
      <c r="B242" s="68" t="str">
        <f t="shared" si="3"/>
        <v>SCE_PD_HIGH_LVG_TXN_FSCE_Product</v>
      </c>
      <c r="C242" s="46" t="s">
        <v>7</v>
      </c>
      <c r="D242" s="44" t="s">
        <v>74</v>
      </c>
      <c r="E242" s="22" t="s">
        <v>72</v>
      </c>
      <c r="F242" s="58" t="s">
        <v>65</v>
      </c>
      <c r="G242" s="58"/>
      <c r="H242" s="17" t="s">
        <v>414</v>
      </c>
      <c r="I242" s="46" t="s">
        <v>114</v>
      </c>
      <c r="J242" s="46"/>
      <c r="K242" s="46"/>
      <c r="L242" s="46" t="s">
        <v>114</v>
      </c>
    </row>
    <row r="243" spans="1:12" x14ac:dyDescent="0.35">
      <c r="A243" s="25"/>
      <c r="B243" s="68" t="str">
        <f t="shared" si="3"/>
        <v>SCE_PD_DER_ORIGINATING_ENTITY_IDSCE_Product_DER</v>
      </c>
      <c r="C243" s="46" t="s">
        <v>7</v>
      </c>
      <c r="D243" s="45" t="s">
        <v>75</v>
      </c>
      <c r="E243" s="17" t="s">
        <v>76</v>
      </c>
      <c r="F243" s="17" t="s">
        <v>70</v>
      </c>
      <c r="G243" s="17"/>
      <c r="H243" s="17" t="s">
        <v>415</v>
      </c>
      <c r="I243" s="46" t="s">
        <v>114</v>
      </c>
      <c r="J243" s="46"/>
      <c r="K243" s="46"/>
      <c r="L243" s="46" t="s">
        <v>114</v>
      </c>
    </row>
    <row r="244" spans="1:12" x14ac:dyDescent="0.35">
      <c r="A244" s="25"/>
      <c r="B244" s="68" t="str">
        <f t="shared" si="3"/>
        <v/>
      </c>
      <c r="C244" s="74"/>
      <c r="D244" s="22"/>
      <c r="E244" s="22"/>
      <c r="F244" s="22"/>
      <c r="G244" s="17"/>
      <c r="H244" s="46"/>
      <c r="I244" s="46"/>
      <c r="J244" s="46"/>
      <c r="K244" s="46"/>
      <c r="L244" s="73"/>
    </row>
    <row r="245" spans="1:12" x14ac:dyDescent="0.35">
      <c r="A245" s="25"/>
      <c r="B245" s="68" t="str">
        <f t="shared" si="3"/>
        <v/>
      </c>
      <c r="C245" s="74"/>
      <c r="D245" s="22"/>
      <c r="E245" s="22"/>
      <c r="F245" s="22"/>
      <c r="G245" s="17"/>
      <c r="H245" s="46"/>
      <c r="I245" s="46"/>
      <c r="J245" s="46"/>
      <c r="K245" s="46"/>
      <c r="L245" s="73"/>
    </row>
  </sheetData>
  <pageMargins left="0.7" right="0.7" top="0.75" bottom="0.75" header="0.3" footer="0.3"/>
  <customProperties>
    <customPr name="QAA_DRILLPATH_NODE_ID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9BCA-73A0-4ADC-86DD-5C87115DCFA9}">
  <dimension ref="A1:H212"/>
  <sheetViews>
    <sheetView workbookViewId="0">
      <selection activeCell="D13" sqref="D13"/>
    </sheetView>
  </sheetViews>
  <sheetFormatPr defaultRowHeight="14.5" x14ac:dyDescent="0.35"/>
  <cols>
    <col min="4" max="4" width="40.26953125" bestFit="1" customWidth="1"/>
    <col min="5" max="5" width="16.81640625" customWidth="1"/>
    <col min="6" max="6" width="16.1796875" customWidth="1"/>
    <col min="8" max="8" width="52.1796875" customWidth="1"/>
  </cols>
  <sheetData>
    <row r="1" spans="1:8" x14ac:dyDescent="0.35">
      <c r="A1" s="6"/>
      <c r="B1" s="75" t="s">
        <v>104</v>
      </c>
      <c r="C1" s="75" t="s">
        <v>0</v>
      </c>
      <c r="D1" s="75" t="s">
        <v>1</v>
      </c>
      <c r="E1" s="75" t="s">
        <v>2</v>
      </c>
      <c r="F1" s="75" t="s">
        <v>3</v>
      </c>
      <c r="G1" s="75" t="s">
        <v>106</v>
      </c>
      <c r="H1" s="75" t="s">
        <v>107</v>
      </c>
    </row>
    <row r="2" spans="1:8" x14ac:dyDescent="0.35">
      <c r="A2" s="2"/>
      <c r="B2" s="76" t="str">
        <f t="shared" ref="B2:B66" si="0">CONCATENATE(D2,E2)</f>
        <v>OBLGOR_NOObligor</v>
      </c>
      <c r="C2" s="46">
        <v>0.1</v>
      </c>
      <c r="D2" s="22" t="s">
        <v>112</v>
      </c>
      <c r="E2" s="22" t="s">
        <v>44</v>
      </c>
      <c r="F2" s="22" t="s">
        <v>10</v>
      </c>
      <c r="G2" s="22" t="s">
        <v>4</v>
      </c>
      <c r="H2" s="17" t="s">
        <v>113</v>
      </c>
    </row>
    <row r="3" spans="1:8" x14ac:dyDescent="0.35">
      <c r="A3" s="2"/>
      <c r="B3" s="76" t="str">
        <f t="shared" si="0"/>
        <v>OBLGOR_SSM_CODEObligor</v>
      </c>
      <c r="C3" s="46">
        <v>0.1</v>
      </c>
      <c r="D3" s="22" t="s">
        <v>117</v>
      </c>
      <c r="E3" s="22" t="s">
        <v>44</v>
      </c>
      <c r="F3" s="22" t="s">
        <v>14</v>
      </c>
      <c r="G3" s="22" t="s">
        <v>4</v>
      </c>
      <c r="H3" s="17" t="s">
        <v>118</v>
      </c>
    </row>
    <row r="4" spans="1:8" x14ac:dyDescent="0.35">
      <c r="A4" s="2"/>
      <c r="B4" s="76" t="str">
        <f t="shared" si="0"/>
        <v>OBG_BUS_REF_DTSObligor</v>
      </c>
      <c r="C4" s="46">
        <v>0.1</v>
      </c>
      <c r="D4" s="23" t="s">
        <v>121</v>
      </c>
      <c r="E4" s="22" t="s">
        <v>44</v>
      </c>
      <c r="F4" s="22" t="s">
        <v>16</v>
      </c>
      <c r="G4" s="22" t="s">
        <v>4</v>
      </c>
      <c r="H4" s="17" t="s">
        <v>122</v>
      </c>
    </row>
    <row r="5" spans="1:8" x14ac:dyDescent="0.35">
      <c r="A5" s="2"/>
      <c r="B5" s="76" t="str">
        <f t="shared" si="0"/>
        <v>OBLGOR_NO_ORIGObligor</v>
      </c>
      <c r="C5" s="46">
        <v>0.1</v>
      </c>
      <c r="D5" s="22" t="s">
        <v>131</v>
      </c>
      <c r="E5" s="22" t="s">
        <v>44</v>
      </c>
      <c r="F5" s="22" t="s">
        <v>10</v>
      </c>
      <c r="G5" s="70"/>
      <c r="H5" s="17" t="s">
        <v>132</v>
      </c>
    </row>
    <row r="6" spans="1:8" x14ac:dyDescent="0.35">
      <c r="A6" s="2"/>
      <c r="B6" s="76" t="str">
        <f t="shared" si="0"/>
        <v>OBLGOR_SSM_CODE_ORIGObligor</v>
      </c>
      <c r="C6" s="46">
        <v>0.1</v>
      </c>
      <c r="D6" s="22" t="s">
        <v>134</v>
      </c>
      <c r="E6" s="22" t="s">
        <v>44</v>
      </c>
      <c r="F6" s="22" t="s">
        <v>14</v>
      </c>
      <c r="G6" s="70"/>
      <c r="H6" s="17" t="s">
        <v>132</v>
      </c>
    </row>
    <row r="7" spans="1:8" x14ac:dyDescent="0.35">
      <c r="A7" s="2"/>
      <c r="B7" s="76" t="str">
        <f t="shared" si="0"/>
        <v>OBG_BUS_REF_DTS_ORIGObligor</v>
      </c>
      <c r="C7" s="46">
        <v>0.1</v>
      </c>
      <c r="D7" s="22" t="s">
        <v>135</v>
      </c>
      <c r="E7" s="22" t="s">
        <v>44</v>
      </c>
      <c r="F7" s="22" t="s">
        <v>16</v>
      </c>
      <c r="G7" s="70"/>
      <c r="H7" s="17" t="s">
        <v>132</v>
      </c>
    </row>
    <row r="8" spans="1:8" x14ac:dyDescent="0.35">
      <c r="A8" s="2"/>
      <c r="B8" s="76" t="str">
        <f t="shared" si="0"/>
        <v>OBG_NEW_INFL_FLGObligor</v>
      </c>
      <c r="C8" s="46">
        <v>0.1</v>
      </c>
      <c r="D8" s="22" t="s">
        <v>136</v>
      </c>
      <c r="E8" s="22" t="s">
        <v>44</v>
      </c>
      <c r="F8" s="22" t="s">
        <v>65</v>
      </c>
      <c r="G8" s="70"/>
      <c r="H8" s="17" t="s">
        <v>132</v>
      </c>
    </row>
    <row r="9" spans="1:8" x14ac:dyDescent="0.35">
      <c r="A9" s="2"/>
      <c r="B9" s="76" t="str">
        <f t="shared" si="0"/>
        <v>OBG_NEW_INFL_PERIODObligor</v>
      </c>
      <c r="C9" s="46">
        <v>0.1</v>
      </c>
      <c r="D9" s="22" t="s">
        <v>137</v>
      </c>
      <c r="E9" s="22" t="s">
        <v>44</v>
      </c>
      <c r="F9" s="22" t="s">
        <v>27</v>
      </c>
      <c r="G9" s="70"/>
      <c r="H9" s="17" t="s">
        <v>132</v>
      </c>
    </row>
    <row r="10" spans="1:8" x14ac:dyDescent="0.35">
      <c r="A10" s="2"/>
      <c r="B10" s="76" t="str">
        <f t="shared" si="0"/>
        <v>OBG_MM_BCKT_CODEObligor</v>
      </c>
      <c r="C10" s="46">
        <v>0.1</v>
      </c>
      <c r="D10" s="22" t="s">
        <v>416</v>
      </c>
      <c r="E10" s="22" t="s">
        <v>44</v>
      </c>
      <c r="F10" s="17" t="s">
        <v>144</v>
      </c>
      <c r="G10" s="70"/>
      <c r="H10" s="17" t="s">
        <v>132</v>
      </c>
    </row>
    <row r="11" spans="1:8" x14ac:dyDescent="0.35">
      <c r="A11" s="2"/>
      <c r="B11" s="76" t="str">
        <f t="shared" si="0"/>
        <v>OBLGOR_NO_MAP_ORIGObligor</v>
      </c>
      <c r="C11" s="46">
        <v>0.1</v>
      </c>
      <c r="D11" s="69" t="s">
        <v>140</v>
      </c>
      <c r="E11" s="22" t="s">
        <v>44</v>
      </c>
      <c r="F11" s="22" t="s">
        <v>10</v>
      </c>
      <c r="G11" s="70"/>
      <c r="H11" s="17" t="s">
        <v>132</v>
      </c>
    </row>
    <row r="12" spans="1:8" x14ac:dyDescent="0.35">
      <c r="A12" s="2"/>
      <c r="B12" s="76" t="str">
        <f t="shared" si="0"/>
        <v>OBLGOR_SSM_CODE_MAP_ORIGObligor</v>
      </c>
      <c r="C12" s="46">
        <v>0.1</v>
      </c>
      <c r="D12" s="69" t="s">
        <v>141</v>
      </c>
      <c r="E12" s="22" t="s">
        <v>44</v>
      </c>
      <c r="F12" s="22" t="s">
        <v>14</v>
      </c>
      <c r="G12" s="70"/>
      <c r="H12" s="17" t="s">
        <v>132</v>
      </c>
    </row>
    <row r="13" spans="1:8" x14ac:dyDescent="0.35">
      <c r="A13" s="2"/>
      <c r="B13" s="76" t="str">
        <f t="shared" si="0"/>
        <v>OBG_BUS_REF_DTS_MAP_ORIGObligor</v>
      </c>
      <c r="C13" s="46">
        <v>0.1</v>
      </c>
      <c r="D13" s="69" t="s">
        <v>142</v>
      </c>
      <c r="E13" s="22" t="s">
        <v>44</v>
      </c>
      <c r="F13" s="22" t="s">
        <v>16</v>
      </c>
      <c r="G13" s="70"/>
      <c r="H13" s="17" t="s">
        <v>132</v>
      </c>
    </row>
    <row r="14" spans="1:8" x14ac:dyDescent="0.35">
      <c r="A14" s="2"/>
      <c r="B14" s="76" t="str">
        <f t="shared" si="0"/>
        <v>OBG_MM_BCKT_CODE_ORIGObligor</v>
      </c>
      <c r="C14" s="46">
        <v>0.1</v>
      </c>
      <c r="D14" s="23" t="s">
        <v>143</v>
      </c>
      <c r="E14" s="22" t="s">
        <v>44</v>
      </c>
      <c r="F14" s="22" t="s">
        <v>144</v>
      </c>
      <c r="G14" s="70"/>
      <c r="H14" s="17" t="s">
        <v>132</v>
      </c>
    </row>
    <row r="15" spans="1:8" x14ac:dyDescent="0.35">
      <c r="A15" s="2"/>
      <c r="B15" s="76" t="str">
        <f t="shared" si="0"/>
        <v>OBG_SUST_CURE_3B_PCTObligor</v>
      </c>
      <c r="C15" s="46">
        <v>0.1</v>
      </c>
      <c r="D15" s="69" t="s">
        <v>145</v>
      </c>
      <c r="E15" s="22" t="s">
        <v>44</v>
      </c>
      <c r="F15" s="22" t="s">
        <v>146</v>
      </c>
      <c r="G15" s="70"/>
      <c r="H15" s="17"/>
    </row>
    <row r="16" spans="1:8" x14ac:dyDescent="0.35">
      <c r="A16" s="2"/>
      <c r="B16" s="76" t="str">
        <f t="shared" si="0"/>
        <v>OBG_PRD_SEQ_NOObligor</v>
      </c>
      <c r="C16" s="46" t="s">
        <v>42</v>
      </c>
      <c r="D16" s="22" t="s">
        <v>89</v>
      </c>
      <c r="E16" s="22" t="s">
        <v>44</v>
      </c>
      <c r="F16" s="22" t="s">
        <v>68</v>
      </c>
      <c r="G16" s="70"/>
      <c r="H16" s="17" t="s">
        <v>132</v>
      </c>
    </row>
    <row r="17" spans="1:8" x14ac:dyDescent="0.35">
      <c r="A17" s="2"/>
      <c r="B17" s="76" t="str">
        <f t="shared" si="0"/>
        <v>OBLGOR_NOObligor_CRC</v>
      </c>
      <c r="C17" s="46">
        <v>0.1</v>
      </c>
      <c r="D17" s="17" t="s">
        <v>112</v>
      </c>
      <c r="E17" s="17" t="s">
        <v>147</v>
      </c>
      <c r="F17" s="17" t="s">
        <v>10</v>
      </c>
      <c r="G17" s="17" t="s">
        <v>148</v>
      </c>
      <c r="H17" s="17" t="s">
        <v>113</v>
      </c>
    </row>
    <row r="18" spans="1:8" x14ac:dyDescent="0.35">
      <c r="A18" s="2"/>
      <c r="B18" s="76" t="str">
        <f t="shared" si="0"/>
        <v>OBLGOR_SSM_CODEObligor_CRC</v>
      </c>
      <c r="C18" s="46">
        <v>0.1</v>
      </c>
      <c r="D18" s="17" t="s">
        <v>117</v>
      </c>
      <c r="E18" s="17" t="s">
        <v>147</v>
      </c>
      <c r="F18" s="17" t="s">
        <v>14</v>
      </c>
      <c r="G18" s="17" t="s">
        <v>148</v>
      </c>
      <c r="H18" s="17" t="s">
        <v>118</v>
      </c>
    </row>
    <row r="19" spans="1:8" x14ac:dyDescent="0.35">
      <c r="A19" s="2"/>
      <c r="B19" s="76" t="str">
        <f t="shared" si="0"/>
        <v>OBG_CRC_BUS_REF_DTSObligor_CRC</v>
      </c>
      <c r="C19" s="46">
        <v>0.1</v>
      </c>
      <c r="D19" s="17" t="s">
        <v>149</v>
      </c>
      <c r="E19" s="17" t="s">
        <v>147</v>
      </c>
      <c r="F19" s="17" t="s">
        <v>16</v>
      </c>
      <c r="G19" s="17" t="s">
        <v>148</v>
      </c>
      <c r="H19" s="17" t="s">
        <v>150</v>
      </c>
    </row>
    <row r="20" spans="1:8" x14ac:dyDescent="0.35">
      <c r="A20" s="2"/>
      <c r="B20" s="76" t="str">
        <f t="shared" si="0"/>
        <v>OBG_DFLT_EV_EFF_DTObligor_CRC</v>
      </c>
      <c r="C20" s="46">
        <v>0.1</v>
      </c>
      <c r="D20" s="17" t="s">
        <v>151</v>
      </c>
      <c r="E20" s="17" t="s">
        <v>147</v>
      </c>
      <c r="F20" s="17" t="s">
        <v>33</v>
      </c>
      <c r="G20" s="70"/>
      <c r="H20" s="17" t="s">
        <v>152</v>
      </c>
    </row>
    <row r="21" spans="1:8" x14ac:dyDescent="0.35">
      <c r="A21" s="2"/>
      <c r="B21" s="76" t="str">
        <f t="shared" si="0"/>
        <v>OBG_NOObligor_CRC_Result</v>
      </c>
      <c r="C21" s="46">
        <v>0.1</v>
      </c>
      <c r="D21" s="17" t="s">
        <v>153</v>
      </c>
      <c r="E21" s="17" t="s">
        <v>154</v>
      </c>
      <c r="F21" s="17" t="s">
        <v>10</v>
      </c>
      <c r="G21" s="17" t="s">
        <v>148</v>
      </c>
      <c r="H21" s="17" t="s">
        <v>113</v>
      </c>
    </row>
    <row r="22" spans="1:8" x14ac:dyDescent="0.35">
      <c r="A22" s="2"/>
      <c r="B22" s="76" t="str">
        <f t="shared" si="0"/>
        <v>OBG_SSM_CODEObligor_CRC_Result</v>
      </c>
      <c r="C22" s="46">
        <v>0.1</v>
      </c>
      <c r="D22" s="17" t="s">
        <v>155</v>
      </c>
      <c r="E22" s="17" t="s">
        <v>154</v>
      </c>
      <c r="F22" s="17" t="s">
        <v>14</v>
      </c>
      <c r="G22" s="17" t="s">
        <v>148</v>
      </c>
      <c r="H22" s="17" t="s">
        <v>118</v>
      </c>
    </row>
    <row r="23" spans="1:8" x14ac:dyDescent="0.35">
      <c r="A23" s="2"/>
      <c r="B23" s="76" t="str">
        <f t="shared" si="0"/>
        <v>OBG_CRC_BUS_REF_DTSObligor_CRC_Result</v>
      </c>
      <c r="C23" s="46">
        <v>0.1</v>
      </c>
      <c r="D23" s="17" t="s">
        <v>149</v>
      </c>
      <c r="E23" s="17" t="s">
        <v>154</v>
      </c>
      <c r="F23" s="17" t="s">
        <v>16</v>
      </c>
      <c r="G23" s="17" t="s">
        <v>148</v>
      </c>
      <c r="H23" s="17" t="s">
        <v>150</v>
      </c>
    </row>
    <row r="24" spans="1:8" x14ac:dyDescent="0.35">
      <c r="A24" s="2"/>
      <c r="B24" s="76" t="str">
        <f t="shared" si="0"/>
        <v>OBG_CRC_CODEObligor_CRC_Result</v>
      </c>
      <c r="C24" s="46">
        <v>0.1</v>
      </c>
      <c r="D24" s="17" t="s">
        <v>156</v>
      </c>
      <c r="E24" s="17" t="s">
        <v>154</v>
      </c>
      <c r="F24" s="17" t="s">
        <v>157</v>
      </c>
      <c r="G24" s="70"/>
      <c r="H24" s="17" t="s">
        <v>158</v>
      </c>
    </row>
    <row r="25" spans="1:8" x14ac:dyDescent="0.35">
      <c r="A25" s="2"/>
      <c r="B25" s="76" t="str">
        <f t="shared" si="0"/>
        <v>OBG_NOObligor_DPD</v>
      </c>
      <c r="C25" s="46">
        <v>0.1</v>
      </c>
      <c r="D25" s="17" t="s">
        <v>153</v>
      </c>
      <c r="E25" s="17" t="s">
        <v>159</v>
      </c>
      <c r="F25" s="17" t="s">
        <v>10</v>
      </c>
      <c r="G25" s="17" t="s">
        <v>148</v>
      </c>
      <c r="H25" s="17" t="s">
        <v>113</v>
      </c>
    </row>
    <row r="26" spans="1:8" x14ac:dyDescent="0.35">
      <c r="A26" s="2"/>
      <c r="B26" s="76" t="str">
        <f t="shared" si="0"/>
        <v>OBG_SSM_CODEObligor_DPD</v>
      </c>
      <c r="C26" s="46">
        <v>0.1</v>
      </c>
      <c r="D26" s="17" t="s">
        <v>155</v>
      </c>
      <c r="E26" s="17" t="s">
        <v>159</v>
      </c>
      <c r="F26" s="17" t="s">
        <v>14</v>
      </c>
      <c r="G26" s="17" t="s">
        <v>148</v>
      </c>
      <c r="H26" s="17" t="s">
        <v>118</v>
      </c>
    </row>
    <row r="27" spans="1:8" x14ac:dyDescent="0.35">
      <c r="A27" s="2"/>
      <c r="B27" s="76" t="str">
        <f t="shared" si="0"/>
        <v>OBG_DPD_BUS_REF_DTSObligor_DPD</v>
      </c>
      <c r="C27" s="46">
        <v>0.1</v>
      </c>
      <c r="D27" s="17" t="s">
        <v>160</v>
      </c>
      <c r="E27" s="17" t="s">
        <v>159</v>
      </c>
      <c r="F27" s="17" t="s">
        <v>16</v>
      </c>
      <c r="G27" s="17" t="s">
        <v>148</v>
      </c>
      <c r="H27" s="17" t="s">
        <v>161</v>
      </c>
    </row>
    <row r="28" spans="1:8" x14ac:dyDescent="0.35">
      <c r="A28" s="2"/>
      <c r="B28" s="76" t="str">
        <f t="shared" si="0"/>
        <v>OBG_DYS_PAST_DUE_CNTER_NOD_PAST_DUEObligor_DPD</v>
      </c>
      <c r="C28" s="46">
        <v>0.1</v>
      </c>
      <c r="D28" s="17" t="s">
        <v>162</v>
      </c>
      <c r="E28" s="17" t="s">
        <v>159</v>
      </c>
      <c r="F28" s="17" t="s">
        <v>163</v>
      </c>
      <c r="G28" s="70"/>
      <c r="H28" s="17" t="s">
        <v>164</v>
      </c>
    </row>
    <row r="29" spans="1:8" x14ac:dyDescent="0.35">
      <c r="A29" s="2"/>
      <c r="B29" s="76" t="str">
        <f t="shared" si="0"/>
        <v>OBG_NOObligor_PD</v>
      </c>
      <c r="C29" s="46">
        <v>0.1</v>
      </c>
      <c r="D29" s="17" t="s">
        <v>153</v>
      </c>
      <c r="E29" s="17" t="s">
        <v>165</v>
      </c>
      <c r="F29" s="17" t="s">
        <v>10</v>
      </c>
      <c r="G29" s="17" t="s">
        <v>148</v>
      </c>
      <c r="H29" s="17" t="s">
        <v>113</v>
      </c>
    </row>
    <row r="30" spans="1:8" x14ac:dyDescent="0.35">
      <c r="A30" s="2"/>
      <c r="B30" s="76" t="str">
        <f t="shared" si="0"/>
        <v>OBG_SSM_CODEObligor_PD</v>
      </c>
      <c r="C30" s="46">
        <v>0.1</v>
      </c>
      <c r="D30" s="17" t="s">
        <v>155</v>
      </c>
      <c r="E30" s="17" t="s">
        <v>165</v>
      </c>
      <c r="F30" s="17" t="s">
        <v>14</v>
      </c>
      <c r="G30" s="17" t="s">
        <v>148</v>
      </c>
      <c r="H30" s="17" t="s">
        <v>118</v>
      </c>
    </row>
    <row r="31" spans="1:8" x14ac:dyDescent="0.35">
      <c r="A31" s="2"/>
      <c r="B31" s="76" t="str">
        <f t="shared" si="0"/>
        <v>OBG_PD_BUS_REF_DTSObligor_PD</v>
      </c>
      <c r="C31" s="46">
        <v>0.1</v>
      </c>
      <c r="D31" s="17" t="s">
        <v>174</v>
      </c>
      <c r="E31" s="17" t="s">
        <v>165</v>
      </c>
      <c r="F31" s="17" t="s">
        <v>16</v>
      </c>
      <c r="G31" s="17" t="s">
        <v>148</v>
      </c>
      <c r="H31" s="17" t="s">
        <v>175</v>
      </c>
    </row>
    <row r="32" spans="1:8" x14ac:dyDescent="0.35">
      <c r="A32" s="2"/>
      <c r="B32" s="76" t="str">
        <f t="shared" si="0"/>
        <v>OBG_PD_RABO_RSK_RTG_BEST_EST_CODEObligor_PD</v>
      </c>
      <c r="C32" s="46">
        <v>0.1</v>
      </c>
      <c r="D32" s="17" t="s">
        <v>176</v>
      </c>
      <c r="E32" s="17" t="s">
        <v>165</v>
      </c>
      <c r="F32" s="17" t="s">
        <v>177</v>
      </c>
      <c r="G32" s="70"/>
      <c r="H32" s="17" t="s">
        <v>178</v>
      </c>
    </row>
    <row r="33" spans="1:8" x14ac:dyDescent="0.35">
      <c r="A33" s="2"/>
      <c r="B33" s="76" t="str">
        <f t="shared" si="0"/>
        <v>OBG_PD_RCPTL_PCTObligor_PD</v>
      </c>
      <c r="C33" s="46">
        <v>0.1</v>
      </c>
      <c r="D33" s="17" t="s">
        <v>181</v>
      </c>
      <c r="E33" s="17" t="s">
        <v>165</v>
      </c>
      <c r="F33" s="17" t="s">
        <v>38</v>
      </c>
      <c r="G33" s="70"/>
      <c r="H33" s="17" t="s">
        <v>182</v>
      </c>
    </row>
    <row r="34" spans="1:8" x14ac:dyDescent="0.35">
      <c r="A34" s="2"/>
      <c r="B34" s="76" t="str">
        <f t="shared" si="0"/>
        <v>REG_FCY_NORegulatory_Facility</v>
      </c>
      <c r="C34" s="46">
        <v>0.1</v>
      </c>
      <c r="D34" s="17" t="s">
        <v>186</v>
      </c>
      <c r="E34" s="17" t="s">
        <v>93</v>
      </c>
      <c r="F34" s="17" t="s">
        <v>10</v>
      </c>
      <c r="G34" s="17" t="s">
        <v>4</v>
      </c>
      <c r="H34" s="17" t="s">
        <v>187</v>
      </c>
    </row>
    <row r="35" spans="1:8" x14ac:dyDescent="0.35">
      <c r="A35" s="2"/>
      <c r="B35" s="76" t="str">
        <f t="shared" si="0"/>
        <v>REG_FCY_SSM_CODERegulatory_Facility</v>
      </c>
      <c r="C35" s="46">
        <v>0.1</v>
      </c>
      <c r="D35" s="17" t="s">
        <v>188</v>
      </c>
      <c r="E35" s="17" t="s">
        <v>93</v>
      </c>
      <c r="F35" s="17" t="s">
        <v>14</v>
      </c>
      <c r="G35" s="17" t="s">
        <v>4</v>
      </c>
      <c r="H35" s="17" t="s">
        <v>189</v>
      </c>
    </row>
    <row r="36" spans="1:8" x14ac:dyDescent="0.35">
      <c r="A36" s="2"/>
      <c r="B36" s="76" t="str">
        <f t="shared" si="0"/>
        <v>REG_FCY_BUS_REF_DTSRegulatory_Facility</v>
      </c>
      <c r="C36" s="46">
        <v>0.1</v>
      </c>
      <c r="D36" s="17" t="s">
        <v>190</v>
      </c>
      <c r="E36" s="17" t="s">
        <v>93</v>
      </c>
      <c r="F36" s="17" t="s">
        <v>16</v>
      </c>
      <c r="G36" s="17" t="s">
        <v>4</v>
      </c>
      <c r="H36" s="17" t="s">
        <v>191</v>
      </c>
    </row>
    <row r="37" spans="1:8" x14ac:dyDescent="0.35">
      <c r="A37" s="2"/>
      <c r="B37" s="76" t="str">
        <f t="shared" si="0"/>
        <v>OBLGOR_NORegulatory_Facility</v>
      </c>
      <c r="C37" s="46">
        <v>0.1</v>
      </c>
      <c r="D37" s="17" t="s">
        <v>112</v>
      </c>
      <c r="E37" s="17" t="s">
        <v>93</v>
      </c>
      <c r="F37" s="17" t="s">
        <v>10</v>
      </c>
      <c r="G37" s="17" t="s">
        <v>192</v>
      </c>
      <c r="H37" s="17" t="s">
        <v>113</v>
      </c>
    </row>
    <row r="38" spans="1:8" x14ac:dyDescent="0.35">
      <c r="A38" s="2"/>
      <c r="B38" s="76" t="str">
        <f t="shared" si="0"/>
        <v>OBLGOR_SSM_CODERegulatory_Facility</v>
      </c>
      <c r="C38" s="46">
        <v>0.1</v>
      </c>
      <c r="D38" s="17" t="s">
        <v>117</v>
      </c>
      <c r="E38" s="17" t="s">
        <v>93</v>
      </c>
      <c r="F38" s="17" t="s">
        <v>14</v>
      </c>
      <c r="G38" s="17" t="s">
        <v>192</v>
      </c>
      <c r="H38" s="17" t="s">
        <v>118</v>
      </c>
    </row>
    <row r="39" spans="1:8" x14ac:dyDescent="0.35">
      <c r="A39" s="2"/>
      <c r="B39" s="76" t="str">
        <f t="shared" si="0"/>
        <v>OBG_BUS_REF_DTSRegulatory_Facility</v>
      </c>
      <c r="C39" s="46">
        <v>0.1</v>
      </c>
      <c r="D39" s="17" t="s">
        <v>121</v>
      </c>
      <c r="E39" s="17" t="s">
        <v>93</v>
      </c>
      <c r="F39" s="17" t="s">
        <v>16</v>
      </c>
      <c r="G39" s="17" t="s">
        <v>192</v>
      </c>
      <c r="H39" s="17" t="s">
        <v>122</v>
      </c>
    </row>
    <row r="40" spans="1:8" x14ac:dyDescent="0.35">
      <c r="A40" s="2"/>
      <c r="B40" s="76" t="str">
        <f t="shared" si="0"/>
        <v>REG_FCY_MM_BCKT_CODERegulatory_Facility</v>
      </c>
      <c r="C40" s="46">
        <v>0.1</v>
      </c>
      <c r="D40" s="17" t="s">
        <v>417</v>
      </c>
      <c r="E40" s="17" t="s">
        <v>93</v>
      </c>
      <c r="F40" s="17" t="s">
        <v>144</v>
      </c>
      <c r="G40" s="70"/>
      <c r="H40" s="17" t="s">
        <v>132</v>
      </c>
    </row>
    <row r="41" spans="1:8" x14ac:dyDescent="0.35">
      <c r="A41" s="2"/>
      <c r="B41" s="76" t="str">
        <f t="shared" si="0"/>
        <v>REG_FCY_NO_ORIGRegulatory_Facility</v>
      </c>
      <c r="C41" s="46">
        <v>0.1</v>
      </c>
      <c r="D41" s="17" t="s">
        <v>193</v>
      </c>
      <c r="E41" s="17" t="s">
        <v>93</v>
      </c>
      <c r="F41" s="17" t="s">
        <v>10</v>
      </c>
      <c r="G41" s="70"/>
      <c r="H41" s="17" t="s">
        <v>132</v>
      </c>
    </row>
    <row r="42" spans="1:8" x14ac:dyDescent="0.35">
      <c r="A42" s="2"/>
      <c r="B42" s="76" t="str">
        <f t="shared" si="0"/>
        <v>REG_FCY_SSM_CODE_ORIGRegulatory_Facility</v>
      </c>
      <c r="C42" s="46">
        <v>0.1</v>
      </c>
      <c r="D42" s="17" t="s">
        <v>194</v>
      </c>
      <c r="E42" s="17" t="s">
        <v>93</v>
      </c>
      <c r="F42" s="17" t="s">
        <v>14</v>
      </c>
      <c r="G42" s="70"/>
      <c r="H42" s="17" t="s">
        <v>132</v>
      </c>
    </row>
    <row r="43" spans="1:8" x14ac:dyDescent="0.35">
      <c r="A43" s="2"/>
      <c r="B43" s="76" t="str">
        <f t="shared" si="0"/>
        <v>REG_FCY_BUS_REF_DTS_ORIGRegulatory_Facility</v>
      </c>
      <c r="C43" s="46">
        <v>0.1</v>
      </c>
      <c r="D43" s="69" t="s">
        <v>195</v>
      </c>
      <c r="E43" s="17" t="s">
        <v>93</v>
      </c>
      <c r="F43" s="17" t="s">
        <v>16</v>
      </c>
      <c r="G43" s="70"/>
      <c r="H43" s="17" t="s">
        <v>132</v>
      </c>
    </row>
    <row r="44" spans="1:8" x14ac:dyDescent="0.35">
      <c r="A44" s="2"/>
      <c r="B44" s="76" t="str">
        <f t="shared" si="0"/>
        <v>REG_FCY_NEW_INFL_FLGRegulatory_Facility</v>
      </c>
      <c r="C44" s="46">
        <v>0.1</v>
      </c>
      <c r="D44" s="17" t="s">
        <v>196</v>
      </c>
      <c r="E44" s="17" t="s">
        <v>93</v>
      </c>
      <c r="F44" s="17" t="s">
        <v>65</v>
      </c>
      <c r="G44" s="70"/>
      <c r="H44" s="17" t="s">
        <v>132</v>
      </c>
    </row>
    <row r="45" spans="1:8" x14ac:dyDescent="0.35">
      <c r="A45" s="2"/>
      <c r="B45" s="76" t="str">
        <f t="shared" si="0"/>
        <v>REG_FCY_NEW_INFL_PERIODRegulatory_Facility</v>
      </c>
      <c r="C45" s="46">
        <v>0.1</v>
      </c>
      <c r="D45" s="17" t="s">
        <v>197</v>
      </c>
      <c r="E45" s="17" t="s">
        <v>93</v>
      </c>
      <c r="F45" s="17" t="s">
        <v>27</v>
      </c>
      <c r="G45" s="70"/>
      <c r="H45" s="17" t="s">
        <v>132</v>
      </c>
    </row>
    <row r="46" spans="1:8" x14ac:dyDescent="0.35">
      <c r="A46" s="2"/>
      <c r="B46" s="76" t="str">
        <f t="shared" si="0"/>
        <v>REG_FCY_NO_MAP_ORIGRegulatory_Facility</v>
      </c>
      <c r="C46" s="46">
        <v>0.1</v>
      </c>
      <c r="D46" s="17" t="s">
        <v>198</v>
      </c>
      <c r="E46" s="17" t="s">
        <v>93</v>
      </c>
      <c r="F46" s="17" t="s">
        <v>10</v>
      </c>
      <c r="G46" s="70"/>
      <c r="H46" s="17" t="s">
        <v>132</v>
      </c>
    </row>
    <row r="47" spans="1:8" x14ac:dyDescent="0.35">
      <c r="A47" s="2"/>
      <c r="B47" s="76" t="str">
        <f t="shared" si="0"/>
        <v>REG_FCY_SSM_CODE_MAP_ORIGRegulatory_Facility</v>
      </c>
      <c r="C47" s="46">
        <v>0.1</v>
      </c>
      <c r="D47" s="17" t="s">
        <v>199</v>
      </c>
      <c r="E47" s="17" t="s">
        <v>93</v>
      </c>
      <c r="F47" s="17" t="s">
        <v>14</v>
      </c>
      <c r="G47" s="70"/>
      <c r="H47" s="17" t="s">
        <v>132</v>
      </c>
    </row>
    <row r="48" spans="1:8" x14ac:dyDescent="0.35">
      <c r="A48" s="2"/>
      <c r="B48" s="76" t="str">
        <f t="shared" si="0"/>
        <v>REG_FCY_BUS_REF_DTS_MAP_ORIGRegulatory_Facility</v>
      </c>
      <c r="C48" s="46">
        <v>0.1</v>
      </c>
      <c r="D48" s="17" t="s">
        <v>200</v>
      </c>
      <c r="E48" s="17" t="s">
        <v>93</v>
      </c>
      <c r="F48" s="17" t="s">
        <v>16</v>
      </c>
      <c r="G48" s="70"/>
      <c r="H48" s="17" t="s">
        <v>132</v>
      </c>
    </row>
    <row r="49" spans="1:8" x14ac:dyDescent="0.35">
      <c r="A49" s="2"/>
      <c r="B49" s="76" t="str">
        <f t="shared" si="0"/>
        <v>REG_FCY_PRD_SEQ_NORegulatory_Facility</v>
      </c>
      <c r="C49" s="46" t="s">
        <v>42</v>
      </c>
      <c r="D49" s="17" t="s">
        <v>92</v>
      </c>
      <c r="E49" s="17" t="s">
        <v>93</v>
      </c>
      <c r="F49" s="17" t="s">
        <v>68</v>
      </c>
      <c r="G49" s="70"/>
      <c r="H49" s="17" t="s">
        <v>132</v>
      </c>
    </row>
    <row r="50" spans="1:8" x14ac:dyDescent="0.35">
      <c r="A50" s="2"/>
      <c r="B50" s="76" t="str">
        <f t="shared" si="0"/>
        <v>REG_FCY_MM_BCKT_CODE_ORIGRegulatory_Facility</v>
      </c>
      <c r="C50" s="46">
        <v>0.1</v>
      </c>
      <c r="D50" s="77" t="s">
        <v>201</v>
      </c>
      <c r="E50" s="17" t="s">
        <v>93</v>
      </c>
      <c r="F50" s="22" t="s">
        <v>144</v>
      </c>
      <c r="G50" s="70"/>
      <c r="H50" s="17" t="s">
        <v>132</v>
      </c>
    </row>
    <row r="51" spans="1:8" x14ac:dyDescent="0.35">
      <c r="A51" s="2"/>
      <c r="B51" s="76" t="str">
        <f t="shared" si="0"/>
        <v>REG_FCY_BUS_REF_DTSRegulatory_Facility_LGD</v>
      </c>
      <c r="C51" s="46">
        <v>0.1</v>
      </c>
      <c r="D51" s="17" t="s">
        <v>190</v>
      </c>
      <c r="E51" s="17" t="s">
        <v>202</v>
      </c>
      <c r="F51" s="17" t="s">
        <v>16</v>
      </c>
      <c r="G51" s="17" t="s">
        <v>148</v>
      </c>
      <c r="H51" s="17" t="s">
        <v>191</v>
      </c>
    </row>
    <row r="52" spans="1:8" x14ac:dyDescent="0.35">
      <c r="A52" s="2"/>
      <c r="B52" s="76" t="str">
        <f t="shared" si="0"/>
        <v>REG_FCY_NORegulatory_Facility_LGD</v>
      </c>
      <c r="C52" s="46">
        <v>0.1</v>
      </c>
      <c r="D52" s="17" t="s">
        <v>186</v>
      </c>
      <c r="E52" s="17" t="s">
        <v>202</v>
      </c>
      <c r="F52" s="17" t="s">
        <v>10</v>
      </c>
      <c r="G52" s="17" t="s">
        <v>148</v>
      </c>
      <c r="H52" s="17" t="s">
        <v>187</v>
      </c>
    </row>
    <row r="53" spans="1:8" x14ac:dyDescent="0.35">
      <c r="A53" s="2"/>
      <c r="B53" s="76" t="str">
        <f t="shared" si="0"/>
        <v>REG_FCY_SSM_CODERegulatory_Facility_LGD</v>
      </c>
      <c r="C53" s="46">
        <v>0.1</v>
      </c>
      <c r="D53" s="17" t="s">
        <v>188</v>
      </c>
      <c r="E53" s="17" t="s">
        <v>202</v>
      </c>
      <c r="F53" s="17" t="s">
        <v>14</v>
      </c>
      <c r="G53" s="17" t="s">
        <v>148</v>
      </c>
      <c r="H53" s="17" t="s">
        <v>189</v>
      </c>
    </row>
    <row r="54" spans="1:8" x14ac:dyDescent="0.35">
      <c r="A54" s="2"/>
      <c r="B54" s="76" t="str">
        <f t="shared" si="0"/>
        <v>REG_FCY_LGD_PIT_3B_PCTRegulatory_Facility_LGD</v>
      </c>
      <c r="C54" s="46">
        <v>0.1</v>
      </c>
      <c r="D54" s="17" t="s">
        <v>418</v>
      </c>
      <c r="E54" s="17" t="s">
        <v>202</v>
      </c>
      <c r="F54" s="17" t="s">
        <v>146</v>
      </c>
      <c r="G54" s="70"/>
      <c r="H54" s="17"/>
    </row>
    <row r="55" spans="1:8" x14ac:dyDescent="0.35">
      <c r="A55" s="2"/>
      <c r="B55" s="76" t="str">
        <f t="shared" si="0"/>
        <v>SCE_AGRM_NOSCE_Agreement</v>
      </c>
      <c r="C55" s="46">
        <v>0.1</v>
      </c>
      <c r="D55" s="17" t="s">
        <v>203</v>
      </c>
      <c r="E55" s="17" t="s">
        <v>64</v>
      </c>
      <c r="F55" s="17" t="s">
        <v>10</v>
      </c>
      <c r="G55" s="17" t="s">
        <v>4</v>
      </c>
      <c r="H55" s="17" t="s">
        <v>204</v>
      </c>
    </row>
    <row r="56" spans="1:8" x14ac:dyDescent="0.35">
      <c r="A56" s="2"/>
      <c r="B56" s="76" t="str">
        <f t="shared" si="0"/>
        <v>SCE_AGRM_SSM_CODESCE_Agreement</v>
      </c>
      <c r="C56" s="46">
        <v>0.1</v>
      </c>
      <c r="D56" s="17" t="s">
        <v>205</v>
      </c>
      <c r="E56" s="17" t="s">
        <v>64</v>
      </c>
      <c r="F56" s="23" t="s">
        <v>14</v>
      </c>
      <c r="G56" s="17" t="s">
        <v>4</v>
      </c>
      <c r="H56" s="17" t="s">
        <v>206</v>
      </c>
    </row>
    <row r="57" spans="1:8" x14ac:dyDescent="0.35">
      <c r="A57" s="2"/>
      <c r="B57" s="76" t="str">
        <f t="shared" si="0"/>
        <v>SCE_AGRM_BUS_REF_DTSSCE_Agreement</v>
      </c>
      <c r="C57" s="46">
        <v>0.1</v>
      </c>
      <c r="D57" s="17" t="s">
        <v>207</v>
      </c>
      <c r="E57" s="17" t="s">
        <v>64</v>
      </c>
      <c r="F57" s="17" t="s">
        <v>16</v>
      </c>
      <c r="G57" s="17" t="s">
        <v>4</v>
      </c>
      <c r="H57" s="17" t="s">
        <v>208</v>
      </c>
    </row>
    <row r="58" spans="1:8" x14ac:dyDescent="0.35">
      <c r="A58" s="2"/>
      <c r="B58" s="76" t="str">
        <f t="shared" si="0"/>
        <v>SCE_AGRM_ORIG_DTSCE_Agreement</v>
      </c>
      <c r="C58" s="46">
        <v>0.1</v>
      </c>
      <c r="D58" s="17" t="s">
        <v>209</v>
      </c>
      <c r="E58" s="17" t="s">
        <v>64</v>
      </c>
      <c r="F58" s="17" t="s">
        <v>33</v>
      </c>
      <c r="G58" s="70"/>
      <c r="H58" s="17" t="s">
        <v>210</v>
      </c>
    </row>
    <row r="59" spans="1:8" x14ac:dyDescent="0.35">
      <c r="A59" s="2"/>
      <c r="B59" s="76" t="str">
        <f t="shared" si="0"/>
        <v>SCE_AGRM_EXP_DTSCE_Agreement</v>
      </c>
      <c r="C59" s="46">
        <v>0.1</v>
      </c>
      <c r="D59" s="17" t="s">
        <v>211</v>
      </c>
      <c r="E59" s="17" t="s">
        <v>64</v>
      </c>
      <c r="F59" s="17" t="s">
        <v>33</v>
      </c>
      <c r="G59" s="70"/>
      <c r="H59" s="17" t="s">
        <v>212</v>
      </c>
    </row>
    <row r="60" spans="1:8" x14ac:dyDescent="0.35">
      <c r="A60" s="2"/>
      <c r="B60" s="76" t="str">
        <f t="shared" si="0"/>
        <v>REG_FCY_NOSCE_Agreement</v>
      </c>
      <c r="C60" s="46">
        <v>0.1</v>
      </c>
      <c r="D60" s="17" t="s">
        <v>186</v>
      </c>
      <c r="E60" s="17" t="s">
        <v>64</v>
      </c>
      <c r="F60" s="17" t="s">
        <v>10</v>
      </c>
      <c r="G60" s="17" t="s">
        <v>192</v>
      </c>
      <c r="H60" s="17" t="s">
        <v>187</v>
      </c>
    </row>
    <row r="61" spans="1:8" x14ac:dyDescent="0.35">
      <c r="A61" s="2"/>
      <c r="B61" s="76" t="str">
        <f t="shared" si="0"/>
        <v>REG_FCY_SSM_CODESCE_Agreement</v>
      </c>
      <c r="C61" s="46">
        <v>0.1</v>
      </c>
      <c r="D61" s="17" t="s">
        <v>188</v>
      </c>
      <c r="E61" s="17" t="s">
        <v>64</v>
      </c>
      <c r="F61" s="17" t="s">
        <v>14</v>
      </c>
      <c r="G61" s="17" t="s">
        <v>192</v>
      </c>
      <c r="H61" s="17" t="s">
        <v>189</v>
      </c>
    </row>
    <row r="62" spans="1:8" x14ac:dyDescent="0.35">
      <c r="A62" s="2"/>
      <c r="B62" s="76" t="str">
        <f t="shared" si="0"/>
        <v>REG_FCY_BUS_REF_DTSSCE_Agreement</v>
      </c>
      <c r="C62" s="46">
        <v>0.1</v>
      </c>
      <c r="D62" s="17" t="s">
        <v>190</v>
      </c>
      <c r="E62" s="17" t="s">
        <v>64</v>
      </c>
      <c r="F62" s="17" t="s">
        <v>16</v>
      </c>
      <c r="G62" s="17" t="s">
        <v>192</v>
      </c>
      <c r="H62" s="17" t="s">
        <v>191</v>
      </c>
    </row>
    <row r="63" spans="1:8" x14ac:dyDescent="0.35">
      <c r="A63" s="2"/>
      <c r="B63" s="76" t="str">
        <f t="shared" si="0"/>
        <v>SCE_AGRM_BUS_REF_DTS_ORIGSCE_Agreement</v>
      </c>
      <c r="C63" s="46">
        <v>0.1</v>
      </c>
      <c r="D63" s="17" t="s">
        <v>213</v>
      </c>
      <c r="E63" s="17" t="s">
        <v>64</v>
      </c>
      <c r="F63" s="17" t="s">
        <v>16</v>
      </c>
      <c r="G63" s="70"/>
      <c r="H63" s="17" t="s">
        <v>132</v>
      </c>
    </row>
    <row r="64" spans="1:8" x14ac:dyDescent="0.35">
      <c r="A64" s="2"/>
      <c r="B64" s="76" t="str">
        <f t="shared" si="0"/>
        <v>SCE_AGRM_NO_ORIGSCE_Agreement</v>
      </c>
      <c r="C64" s="46">
        <v>0.1</v>
      </c>
      <c r="D64" s="17" t="s">
        <v>214</v>
      </c>
      <c r="E64" s="17" t="s">
        <v>64</v>
      </c>
      <c r="F64" s="17" t="s">
        <v>10</v>
      </c>
      <c r="G64" s="70"/>
      <c r="H64" s="17" t="s">
        <v>132</v>
      </c>
    </row>
    <row r="65" spans="1:8" x14ac:dyDescent="0.35">
      <c r="A65" s="2"/>
      <c r="B65" s="76" t="str">
        <f t="shared" si="0"/>
        <v>SCE_AGRM_SSM_CODE_ORIGSCE_Agreement</v>
      </c>
      <c r="C65" s="46">
        <v>0.1</v>
      </c>
      <c r="D65" s="17" t="s">
        <v>215</v>
      </c>
      <c r="E65" s="17" t="s">
        <v>64</v>
      </c>
      <c r="F65" s="17" t="s">
        <v>14</v>
      </c>
      <c r="G65" s="70"/>
      <c r="H65" s="17" t="s">
        <v>132</v>
      </c>
    </row>
    <row r="66" spans="1:8" x14ac:dyDescent="0.35">
      <c r="A66" s="2"/>
      <c r="B66" s="76" t="str">
        <f t="shared" si="0"/>
        <v>SCE_AGRM_NML_ESR_AMTSCE_Agreement</v>
      </c>
      <c r="C66" s="46">
        <v>0.1</v>
      </c>
      <c r="D66" s="17" t="s">
        <v>216</v>
      </c>
      <c r="E66" s="17" t="s">
        <v>64</v>
      </c>
      <c r="F66" s="17" t="s">
        <v>217</v>
      </c>
      <c r="G66" s="70"/>
      <c r="H66" s="17" t="s">
        <v>218</v>
      </c>
    </row>
    <row r="67" spans="1:8" x14ac:dyDescent="0.35">
      <c r="A67" s="2"/>
      <c r="B67" s="76" t="str">
        <f t="shared" ref="B67:B130" si="1">CONCATENATE(D67,E67)</f>
        <v>SCE_AGRM_HEADROOMSCE_Agreement</v>
      </c>
      <c r="C67" s="46">
        <v>0.1</v>
      </c>
      <c r="D67" s="17" t="s">
        <v>219</v>
      </c>
      <c r="E67" s="17" t="s">
        <v>64</v>
      </c>
      <c r="F67" s="17" t="s">
        <v>220</v>
      </c>
      <c r="G67" s="70"/>
      <c r="H67" s="17" t="s">
        <v>221</v>
      </c>
    </row>
    <row r="68" spans="1:8" x14ac:dyDescent="0.35">
      <c r="A68" s="2"/>
      <c r="B68" s="76" t="str">
        <f t="shared" si="1"/>
        <v>SCE_AGRM_MM_BCKT_CODESCE_Agreement</v>
      </c>
      <c r="C68" s="46">
        <v>0.1</v>
      </c>
      <c r="D68" s="17" t="s">
        <v>419</v>
      </c>
      <c r="E68" s="17" t="s">
        <v>64</v>
      </c>
      <c r="F68" s="17" t="s">
        <v>144</v>
      </c>
      <c r="G68" s="70"/>
      <c r="H68" s="17"/>
    </row>
    <row r="69" spans="1:8" x14ac:dyDescent="0.35">
      <c r="A69" s="2"/>
      <c r="B69" s="76" t="str">
        <f t="shared" si="1"/>
        <v>SCE_AGRM_NEW_INFL_FLGSCE_Agreement</v>
      </c>
      <c r="C69" s="46">
        <v>0.1</v>
      </c>
      <c r="D69" s="17" t="s">
        <v>222</v>
      </c>
      <c r="E69" s="17" t="s">
        <v>64</v>
      </c>
      <c r="F69" s="17" t="s">
        <v>65</v>
      </c>
      <c r="G69" s="70"/>
      <c r="H69" s="17" t="s">
        <v>132</v>
      </c>
    </row>
    <row r="70" spans="1:8" x14ac:dyDescent="0.35">
      <c r="A70" s="2"/>
      <c r="B70" s="76" t="str">
        <f t="shared" si="1"/>
        <v>SCE_AGRM_NEW_INFL_PERIODSCE_Agreement</v>
      </c>
      <c r="C70" s="46">
        <v>0.1</v>
      </c>
      <c r="D70" s="17" t="s">
        <v>223</v>
      </c>
      <c r="E70" s="17" t="s">
        <v>64</v>
      </c>
      <c r="F70" s="17" t="s">
        <v>27</v>
      </c>
      <c r="G70" s="70"/>
      <c r="H70" s="17" t="s">
        <v>132</v>
      </c>
    </row>
    <row r="71" spans="1:8" x14ac:dyDescent="0.35">
      <c r="A71" s="2"/>
      <c r="B71" s="76" t="str">
        <f t="shared" si="1"/>
        <v>SCE_AGRM_DEPTSCE_Agreement</v>
      </c>
      <c r="C71" s="46">
        <v>0.1</v>
      </c>
      <c r="D71" s="78" t="s">
        <v>224</v>
      </c>
      <c r="E71" s="17" t="s">
        <v>64</v>
      </c>
      <c r="F71" s="17" t="s">
        <v>10</v>
      </c>
      <c r="G71" s="70"/>
      <c r="H71" s="17"/>
    </row>
    <row r="72" spans="1:8" x14ac:dyDescent="0.35">
      <c r="A72" s="2"/>
      <c r="B72" s="76" t="str">
        <f t="shared" si="1"/>
        <v>SCE_AGRM_EAD_BE_X_Stage_1_BOYSCE_Agreement</v>
      </c>
      <c r="C72" s="46">
        <v>0.1</v>
      </c>
      <c r="D72" s="17" t="s">
        <v>420</v>
      </c>
      <c r="E72" s="17" t="s">
        <v>64</v>
      </c>
      <c r="F72" s="17" t="s">
        <v>220</v>
      </c>
      <c r="G72" s="70"/>
      <c r="H72" s="17"/>
    </row>
    <row r="73" spans="1:8" x14ac:dyDescent="0.35">
      <c r="A73" s="2"/>
      <c r="B73" s="76" t="str">
        <f t="shared" si="1"/>
        <v>SCE_AGRM_EAD_BE_X_Stage_2_BOYSCE_Agreement</v>
      </c>
      <c r="C73" s="46">
        <v>0.1</v>
      </c>
      <c r="D73" s="17" t="s">
        <v>421</v>
      </c>
      <c r="E73" s="17" t="s">
        <v>64</v>
      </c>
      <c r="F73" s="17" t="s">
        <v>220</v>
      </c>
      <c r="G73" s="70"/>
      <c r="H73" s="17"/>
    </row>
    <row r="74" spans="1:8" x14ac:dyDescent="0.35">
      <c r="A74" s="2"/>
      <c r="B74" s="76" t="str">
        <f t="shared" si="1"/>
        <v>SCE_AGRM_EAD_BE_X_Stage_3_BOYSCE_Agreement</v>
      </c>
      <c r="C74" s="46">
        <v>0.1</v>
      </c>
      <c r="D74" s="17" t="s">
        <v>422</v>
      </c>
      <c r="E74" s="17" t="s">
        <v>64</v>
      </c>
      <c r="F74" s="17" t="s">
        <v>220</v>
      </c>
      <c r="G74" s="70"/>
      <c r="H74" s="17"/>
    </row>
    <row r="75" spans="1:8" x14ac:dyDescent="0.35">
      <c r="A75" s="2"/>
      <c r="B75" s="76" t="str">
        <f t="shared" si="1"/>
        <v>SCE_AGRM_EAD_BE_X_Stage_Oth_BOYSCE_Agreement</v>
      </c>
      <c r="C75" s="46">
        <v>0.1</v>
      </c>
      <c r="D75" s="17" t="s">
        <v>423</v>
      </c>
      <c r="E75" s="17" t="s">
        <v>64</v>
      </c>
      <c r="F75" s="17" t="s">
        <v>220</v>
      </c>
      <c r="G75" s="70"/>
      <c r="H75" s="17"/>
    </row>
    <row r="76" spans="1:8" x14ac:dyDescent="0.35">
      <c r="A76" s="2"/>
      <c r="B76" s="76" t="str">
        <f t="shared" si="1"/>
        <v>SCE_AGRM_LGD_FLR_DYKE_MTHD_FCTRSCE_Agreement</v>
      </c>
      <c r="C76" s="46">
        <v>0.1</v>
      </c>
      <c r="D76" s="17" t="s">
        <v>424</v>
      </c>
      <c r="E76" s="17" t="s">
        <v>64</v>
      </c>
      <c r="F76" s="17" t="s">
        <v>425</v>
      </c>
      <c r="G76" s="70"/>
      <c r="H76" s="17"/>
    </row>
    <row r="77" spans="1:8" x14ac:dyDescent="0.35">
      <c r="A77" s="2"/>
      <c r="B77" s="76" t="str">
        <f t="shared" si="1"/>
        <v>SCE_AGRM_MTP_SGMNT_MAINSCE_Agreement</v>
      </c>
      <c r="C77" s="46">
        <v>0.1</v>
      </c>
      <c r="D77" s="17" t="s">
        <v>426</v>
      </c>
      <c r="E77" s="17" t="s">
        <v>64</v>
      </c>
      <c r="F77" s="17" t="s">
        <v>279</v>
      </c>
      <c r="G77" s="70"/>
      <c r="H77" s="17"/>
    </row>
    <row r="78" spans="1:8" x14ac:dyDescent="0.35">
      <c r="A78" s="2"/>
      <c r="B78" s="76" t="str">
        <f t="shared" si="1"/>
        <v>SCE_AGRM_MTP_SGMNT_SUB_1SCE_Agreement</v>
      </c>
      <c r="C78" s="46">
        <v>0.1</v>
      </c>
      <c r="D78" s="17" t="s">
        <v>427</v>
      </c>
      <c r="E78" s="17" t="s">
        <v>64</v>
      </c>
      <c r="F78" s="17" t="s">
        <v>279</v>
      </c>
      <c r="G78" s="70"/>
      <c r="H78" s="17"/>
    </row>
    <row r="79" spans="1:8" x14ac:dyDescent="0.35">
      <c r="A79" s="2"/>
      <c r="B79" s="76" t="str">
        <f t="shared" si="1"/>
        <v>SCE_AGRM_MTP_SGMNT_SUB_2SCE_Agreement</v>
      </c>
      <c r="C79" s="46">
        <v>0.1</v>
      </c>
      <c r="D79" s="17" t="s">
        <v>428</v>
      </c>
      <c r="E79" s="17" t="s">
        <v>64</v>
      </c>
      <c r="F79" s="17" t="s">
        <v>279</v>
      </c>
      <c r="G79" s="70"/>
      <c r="H79" s="17"/>
    </row>
    <row r="80" spans="1:8" x14ac:dyDescent="0.35">
      <c r="A80" s="2"/>
      <c r="B80" s="76" t="str">
        <f t="shared" si="1"/>
        <v>SCE_AGRM_MTP_SGMNT_SUB_3SCE_Agreement</v>
      </c>
      <c r="C80" s="46">
        <v>0.1</v>
      </c>
      <c r="D80" s="17" t="s">
        <v>429</v>
      </c>
      <c r="E80" s="17" t="s">
        <v>64</v>
      </c>
      <c r="F80" s="22" t="s">
        <v>279</v>
      </c>
      <c r="G80" s="70"/>
      <c r="H80" s="17"/>
    </row>
    <row r="81" spans="1:8" x14ac:dyDescent="0.35">
      <c r="A81" s="2"/>
      <c r="B81" s="76" t="str">
        <f t="shared" si="1"/>
        <v>SCE_AGRM_FA_FLGSCE_Agreement</v>
      </c>
      <c r="C81" s="46">
        <v>0.1</v>
      </c>
      <c r="D81" s="17" t="s">
        <v>430</v>
      </c>
      <c r="E81" s="17" t="s">
        <v>64</v>
      </c>
      <c r="F81" s="17" t="s">
        <v>65</v>
      </c>
      <c r="G81" s="70"/>
      <c r="H81" s="17"/>
    </row>
    <row r="82" spans="1:8" x14ac:dyDescent="0.35">
      <c r="A82" s="2"/>
      <c r="B82" s="76" t="str">
        <f t="shared" si="1"/>
        <v>SCE_AGRM_NO_MAP_ORIGSCE_Agreement</v>
      </c>
      <c r="C82" s="46">
        <v>0.1</v>
      </c>
      <c r="D82" s="70" t="s">
        <v>225</v>
      </c>
      <c r="E82" s="22" t="s">
        <v>64</v>
      </c>
      <c r="F82" s="22" t="s">
        <v>10</v>
      </c>
      <c r="G82" s="70"/>
      <c r="H82" s="17" t="s">
        <v>132</v>
      </c>
    </row>
    <row r="83" spans="1:8" x14ac:dyDescent="0.35">
      <c r="A83" s="2"/>
      <c r="B83" s="76" t="str">
        <f t="shared" si="1"/>
        <v>SCE_AGRM_SSM_CODE_MAP_ORIGSCE_Agreement</v>
      </c>
      <c r="C83" s="46">
        <v>0.1</v>
      </c>
      <c r="D83" s="70" t="s">
        <v>226</v>
      </c>
      <c r="E83" s="22" t="s">
        <v>64</v>
      </c>
      <c r="F83" s="22" t="s">
        <v>14</v>
      </c>
      <c r="G83" s="70"/>
      <c r="H83" s="17" t="s">
        <v>132</v>
      </c>
    </row>
    <row r="84" spans="1:8" x14ac:dyDescent="0.35">
      <c r="A84" s="2"/>
      <c r="B84" s="76" t="str">
        <f t="shared" si="1"/>
        <v>SCE_AGRM_BUS_REF_DTS_MAP_ORIGSCE_Agreement</v>
      </c>
      <c r="C84" s="46">
        <v>0.1</v>
      </c>
      <c r="D84" s="70" t="s">
        <v>227</v>
      </c>
      <c r="E84" s="22" t="s">
        <v>64</v>
      </c>
      <c r="F84" s="22" t="s">
        <v>16</v>
      </c>
      <c r="G84" s="70"/>
      <c r="H84" s="17" t="s">
        <v>132</v>
      </c>
    </row>
    <row r="85" spans="1:8" x14ac:dyDescent="0.35">
      <c r="A85" s="2"/>
      <c r="B85" s="76" t="str">
        <f t="shared" si="1"/>
        <v>SCE_AGRM_SPF_PRVNS_AMTSCE_Agreement</v>
      </c>
      <c r="C85" s="46">
        <v>0.1</v>
      </c>
      <c r="D85" s="22" t="s">
        <v>230</v>
      </c>
      <c r="E85" s="22" t="s">
        <v>64</v>
      </c>
      <c r="F85" s="22" t="s">
        <v>25</v>
      </c>
      <c r="G85" s="70"/>
      <c r="H85" s="17"/>
    </row>
    <row r="86" spans="1:8" x14ac:dyDescent="0.35">
      <c r="A86" s="2"/>
      <c r="B86" s="76" t="str">
        <f t="shared" si="1"/>
        <v>SCE_AGRM_PRD_SEQ_NOSCE_Agreement</v>
      </c>
      <c r="C86" s="46" t="s">
        <v>42</v>
      </c>
      <c r="D86" s="22" t="s">
        <v>94</v>
      </c>
      <c r="E86" s="22" t="s">
        <v>64</v>
      </c>
      <c r="F86" s="22" t="s">
        <v>68</v>
      </c>
      <c r="G86" s="70"/>
      <c r="H86" s="17"/>
    </row>
    <row r="87" spans="1:8" x14ac:dyDescent="0.35">
      <c r="A87" s="2"/>
      <c r="B87" s="76" t="str">
        <f t="shared" si="1"/>
        <v>SCE_PD_NOSCE_Product</v>
      </c>
      <c r="C87" s="46">
        <v>0.1</v>
      </c>
      <c r="D87" s="17" t="s">
        <v>237</v>
      </c>
      <c r="E87" s="17" t="s">
        <v>72</v>
      </c>
      <c r="F87" s="17" t="s">
        <v>10</v>
      </c>
      <c r="G87" s="17" t="s">
        <v>4</v>
      </c>
      <c r="H87" s="17" t="s">
        <v>238</v>
      </c>
    </row>
    <row r="88" spans="1:8" x14ac:dyDescent="0.35">
      <c r="A88" s="2"/>
      <c r="B88" s="76" t="str">
        <f t="shared" si="1"/>
        <v>SCE_PD_SSM_CODESCE_Product</v>
      </c>
      <c r="C88" s="46">
        <v>0.1</v>
      </c>
      <c r="D88" s="17" t="s">
        <v>239</v>
      </c>
      <c r="E88" s="17" t="s">
        <v>72</v>
      </c>
      <c r="F88" s="17" t="s">
        <v>14</v>
      </c>
      <c r="G88" s="17" t="s">
        <v>4</v>
      </c>
      <c r="H88" s="17" t="s">
        <v>240</v>
      </c>
    </row>
    <row r="89" spans="1:8" x14ac:dyDescent="0.35">
      <c r="A89" s="2"/>
      <c r="B89" s="76" t="str">
        <f t="shared" si="1"/>
        <v>SCE_PD_BUS_REF_DTSSCE_Product</v>
      </c>
      <c r="C89" s="46">
        <v>0.1</v>
      </c>
      <c r="D89" s="17" t="s">
        <v>241</v>
      </c>
      <c r="E89" s="17" t="s">
        <v>72</v>
      </c>
      <c r="F89" s="17" t="s">
        <v>16</v>
      </c>
      <c r="G89" s="17" t="s">
        <v>4</v>
      </c>
      <c r="H89" s="17" t="s">
        <v>242</v>
      </c>
    </row>
    <row r="90" spans="1:8" x14ac:dyDescent="0.35">
      <c r="A90" s="2"/>
      <c r="B90" s="76" t="str">
        <f t="shared" si="1"/>
        <v>SCE_AGRM_NOSCE_Product</v>
      </c>
      <c r="C90" s="46">
        <v>0.1</v>
      </c>
      <c r="D90" s="17" t="s">
        <v>203</v>
      </c>
      <c r="E90" s="17" t="s">
        <v>72</v>
      </c>
      <c r="F90" s="17" t="s">
        <v>10</v>
      </c>
      <c r="G90" s="17" t="s">
        <v>192</v>
      </c>
      <c r="H90" s="17" t="s">
        <v>204</v>
      </c>
    </row>
    <row r="91" spans="1:8" x14ac:dyDescent="0.35">
      <c r="A91" s="2"/>
      <c r="B91" s="76" t="str">
        <f t="shared" si="1"/>
        <v>SCE_AGRM_SSM_CODESCE_Product</v>
      </c>
      <c r="C91" s="46">
        <v>0.1</v>
      </c>
      <c r="D91" s="17" t="s">
        <v>205</v>
      </c>
      <c r="E91" s="17" t="s">
        <v>72</v>
      </c>
      <c r="F91" s="17" t="s">
        <v>14</v>
      </c>
      <c r="G91" s="17" t="s">
        <v>192</v>
      </c>
      <c r="H91" s="17" t="s">
        <v>206</v>
      </c>
    </row>
    <row r="92" spans="1:8" x14ac:dyDescent="0.35">
      <c r="A92" s="2"/>
      <c r="B92" s="76" t="str">
        <f t="shared" si="1"/>
        <v>SCE_AGRM_BUS_REF_DTSSCE_Product</v>
      </c>
      <c r="C92" s="46">
        <v>0.1</v>
      </c>
      <c r="D92" s="17" t="s">
        <v>207</v>
      </c>
      <c r="E92" s="17" t="s">
        <v>72</v>
      </c>
      <c r="F92" s="17" t="s">
        <v>16</v>
      </c>
      <c r="G92" s="17" t="s">
        <v>192</v>
      </c>
      <c r="H92" s="17" t="s">
        <v>208</v>
      </c>
    </row>
    <row r="93" spans="1:8" x14ac:dyDescent="0.35">
      <c r="A93" s="2"/>
      <c r="B93" s="76" t="str">
        <f t="shared" si="1"/>
        <v>SCE_PD_OTSND_AMTSCE_Product</v>
      </c>
      <c r="C93" s="46">
        <v>0.1</v>
      </c>
      <c r="D93" s="17" t="s">
        <v>243</v>
      </c>
      <c r="E93" s="17" t="s">
        <v>72</v>
      </c>
      <c r="F93" s="17" t="s">
        <v>220</v>
      </c>
      <c r="G93" s="70"/>
      <c r="H93" s="17" t="s">
        <v>244</v>
      </c>
    </row>
    <row r="94" spans="1:8" x14ac:dyDescent="0.35">
      <c r="A94" s="2"/>
      <c r="B94" s="76" t="str">
        <f t="shared" si="1"/>
        <v>SCE_PD_EXP_DTSCE_Product</v>
      </c>
      <c r="C94" s="46">
        <v>0.1</v>
      </c>
      <c r="D94" s="17" t="s">
        <v>245</v>
      </c>
      <c r="E94" s="17" t="s">
        <v>72</v>
      </c>
      <c r="F94" s="17" t="s">
        <v>33</v>
      </c>
      <c r="G94" s="70"/>
      <c r="H94" s="17" t="s">
        <v>246</v>
      </c>
    </row>
    <row r="95" spans="1:8" x14ac:dyDescent="0.35">
      <c r="A95" s="2"/>
      <c r="B95" s="76" t="str">
        <f t="shared" si="1"/>
        <v>SCE_PD_ORIG_DTSCE_Product</v>
      </c>
      <c r="C95" s="46">
        <v>0.1</v>
      </c>
      <c r="D95" s="17" t="s">
        <v>247</v>
      </c>
      <c r="E95" s="17" t="s">
        <v>72</v>
      </c>
      <c r="F95" s="17" t="s">
        <v>33</v>
      </c>
      <c r="G95" s="70"/>
      <c r="H95" s="17" t="s">
        <v>248</v>
      </c>
    </row>
    <row r="96" spans="1:8" x14ac:dyDescent="0.35">
      <c r="A96" s="2"/>
      <c r="B96" s="76" t="str">
        <f t="shared" si="1"/>
        <v>SCE_PD_NO_ORIGSCE_Product</v>
      </c>
      <c r="C96" s="46">
        <v>0.1</v>
      </c>
      <c r="D96" s="71" t="s">
        <v>255</v>
      </c>
      <c r="E96" s="17" t="s">
        <v>72</v>
      </c>
      <c r="F96" s="17" t="s">
        <v>10</v>
      </c>
      <c r="G96" s="70"/>
      <c r="H96" s="17" t="s">
        <v>132</v>
      </c>
    </row>
    <row r="97" spans="1:8" x14ac:dyDescent="0.35">
      <c r="A97" s="2"/>
      <c r="B97" s="76" t="str">
        <f t="shared" si="1"/>
        <v>SCE_PD_SSM_CODE_ORIGSCE_Product</v>
      </c>
      <c r="C97" s="46">
        <v>0.1</v>
      </c>
      <c r="D97" s="71" t="s">
        <v>256</v>
      </c>
      <c r="E97" s="17" t="s">
        <v>72</v>
      </c>
      <c r="F97" s="17" t="s">
        <v>14</v>
      </c>
      <c r="G97" s="70"/>
      <c r="H97" s="17" t="s">
        <v>132</v>
      </c>
    </row>
    <row r="98" spans="1:8" x14ac:dyDescent="0.35">
      <c r="A98" s="2"/>
      <c r="B98" s="76" t="str">
        <f t="shared" si="1"/>
        <v>SCE_PD_BUS_REF_DTS_ORIGSCE_Product</v>
      </c>
      <c r="C98" s="46">
        <v>0.1</v>
      </c>
      <c r="D98" s="71" t="s">
        <v>257</v>
      </c>
      <c r="E98" s="17" t="s">
        <v>72</v>
      </c>
      <c r="F98" s="17" t="s">
        <v>16</v>
      </c>
      <c r="G98" s="70"/>
      <c r="H98" s="17" t="s">
        <v>132</v>
      </c>
    </row>
    <row r="99" spans="1:8" x14ac:dyDescent="0.35">
      <c r="A99" s="2"/>
      <c r="B99" s="76" t="str">
        <f t="shared" si="1"/>
        <v>SCE_PD_SPF_PRVNS_AMTSCE_Product</v>
      </c>
      <c r="C99" s="46">
        <v>0.1</v>
      </c>
      <c r="D99" s="17" t="s">
        <v>258</v>
      </c>
      <c r="E99" s="17" t="s">
        <v>72</v>
      </c>
      <c r="F99" s="17" t="s">
        <v>25</v>
      </c>
      <c r="G99" s="70"/>
      <c r="H99" s="17" t="s">
        <v>259</v>
      </c>
    </row>
    <row r="100" spans="1:8" x14ac:dyDescent="0.35">
      <c r="A100" s="2"/>
      <c r="B100" s="76" t="str">
        <f t="shared" si="1"/>
        <v>SCE_PD_NEW_INFL_FLGSCE_Product</v>
      </c>
      <c r="C100" s="46">
        <v>0.1</v>
      </c>
      <c r="D100" s="17" t="s">
        <v>260</v>
      </c>
      <c r="E100" s="17" t="s">
        <v>72</v>
      </c>
      <c r="F100" s="17" t="s">
        <v>65</v>
      </c>
      <c r="G100" s="70"/>
      <c r="H100" s="17" t="s">
        <v>132</v>
      </c>
    </row>
    <row r="101" spans="1:8" x14ac:dyDescent="0.35">
      <c r="A101" s="2"/>
      <c r="B101" s="76" t="str">
        <f t="shared" si="1"/>
        <v>SCE_PD_NEW_INFL_PERIODSCE_Product</v>
      </c>
      <c r="C101" s="46">
        <v>0.1</v>
      </c>
      <c r="D101" s="17" t="s">
        <v>261</v>
      </c>
      <c r="E101" s="17" t="s">
        <v>72</v>
      </c>
      <c r="F101" s="17" t="s">
        <v>27</v>
      </c>
      <c r="G101" s="70"/>
      <c r="H101" s="17" t="s">
        <v>132</v>
      </c>
    </row>
    <row r="102" spans="1:8" x14ac:dyDescent="0.35">
      <c r="A102" s="2"/>
      <c r="B102" s="76" t="str">
        <f t="shared" si="1"/>
        <v>SCE_PD_NEW_INFL_TYPSCE_Product</v>
      </c>
      <c r="C102" s="46">
        <v>0.1</v>
      </c>
      <c r="D102" s="17" t="s">
        <v>262</v>
      </c>
      <c r="E102" s="17" t="s">
        <v>72</v>
      </c>
      <c r="F102" s="17" t="s">
        <v>65</v>
      </c>
      <c r="G102" s="70"/>
      <c r="H102" s="17" t="s">
        <v>132</v>
      </c>
    </row>
    <row r="103" spans="1:8" x14ac:dyDescent="0.35">
      <c r="A103" s="2"/>
      <c r="B103" s="76" t="str">
        <f t="shared" si="1"/>
        <v>SCE_PD_MM_BCKT_CODESCE_Product</v>
      </c>
      <c r="C103" s="46">
        <v>0.1</v>
      </c>
      <c r="D103" s="17" t="s">
        <v>431</v>
      </c>
      <c r="E103" s="17" t="s">
        <v>72</v>
      </c>
      <c r="F103" s="17" t="s">
        <v>144</v>
      </c>
      <c r="G103" s="70"/>
      <c r="H103" s="17"/>
    </row>
    <row r="104" spans="1:8" x14ac:dyDescent="0.35">
      <c r="A104" s="2"/>
      <c r="B104" s="76" t="str">
        <f t="shared" si="1"/>
        <v>SCE_PD_DEPTSCE_Product</v>
      </c>
      <c r="C104" s="46">
        <v>0.1</v>
      </c>
      <c r="D104" s="78" t="s">
        <v>263</v>
      </c>
      <c r="E104" s="17" t="s">
        <v>72</v>
      </c>
      <c r="F104" s="17" t="s">
        <v>10</v>
      </c>
      <c r="G104" s="70"/>
      <c r="H104" s="17"/>
    </row>
    <row r="105" spans="1:8" x14ac:dyDescent="0.35">
      <c r="A105" s="2"/>
      <c r="B105" s="76" t="str">
        <f t="shared" si="1"/>
        <v>SCE_PD_PART_WRT_OFFS_AMTSCE_Product</v>
      </c>
      <c r="C105" s="17">
        <v>0.1</v>
      </c>
      <c r="D105" s="17" t="s">
        <v>264</v>
      </c>
      <c r="E105" s="17" t="s">
        <v>72</v>
      </c>
      <c r="F105" s="17" t="s">
        <v>217</v>
      </c>
      <c r="G105" s="70"/>
      <c r="H105" s="17" t="s">
        <v>265</v>
      </c>
    </row>
    <row r="106" spans="1:8" x14ac:dyDescent="0.35">
      <c r="A106" s="2"/>
      <c r="B106" s="76" t="str">
        <f t="shared" si="1"/>
        <v>SCE_PD_STAGE_CURRENT_PERIOD_CODESCE_Product</v>
      </c>
      <c r="C106" s="46">
        <v>0.1</v>
      </c>
      <c r="D106" s="17" t="s">
        <v>266</v>
      </c>
      <c r="E106" s="17" t="s">
        <v>72</v>
      </c>
      <c r="F106" s="17" t="s">
        <v>68</v>
      </c>
      <c r="G106" s="70"/>
      <c r="H106" s="17"/>
    </row>
    <row r="107" spans="1:8" x14ac:dyDescent="0.35">
      <c r="A107" s="2"/>
      <c r="B107" s="76" t="str">
        <f t="shared" si="1"/>
        <v>SCE_PD_COREP_EXP_TP_CODESCE_Product</v>
      </c>
      <c r="C107" s="46">
        <v>0.1</v>
      </c>
      <c r="D107" s="17" t="s">
        <v>267</v>
      </c>
      <c r="E107" s="17" t="s">
        <v>72</v>
      </c>
      <c r="F107" s="22" t="s">
        <v>14</v>
      </c>
      <c r="G107" s="70"/>
      <c r="H107" s="17" t="s">
        <v>268</v>
      </c>
    </row>
    <row r="108" spans="1:8" x14ac:dyDescent="0.35">
      <c r="A108" s="2"/>
      <c r="B108" s="76" t="str">
        <f t="shared" si="1"/>
        <v>SCE_PD_EAD_BE_X_Stage_1_BOYSCE_Product</v>
      </c>
      <c r="C108" s="46">
        <v>0.1</v>
      </c>
      <c r="D108" s="17" t="s">
        <v>432</v>
      </c>
      <c r="E108" s="17" t="s">
        <v>72</v>
      </c>
      <c r="F108" s="17" t="s">
        <v>220</v>
      </c>
      <c r="G108" s="70"/>
      <c r="H108" s="17"/>
    </row>
    <row r="109" spans="1:8" x14ac:dyDescent="0.35">
      <c r="A109" s="2"/>
      <c r="B109" s="76" t="str">
        <f t="shared" si="1"/>
        <v>SCE_PD_EAD_BE_X_Stage_2_BOYSCE_Product</v>
      </c>
      <c r="C109" s="46">
        <v>0.1</v>
      </c>
      <c r="D109" s="17" t="s">
        <v>433</v>
      </c>
      <c r="E109" s="17" t="s">
        <v>72</v>
      </c>
      <c r="F109" s="17" t="s">
        <v>220</v>
      </c>
      <c r="G109" s="70"/>
      <c r="H109" s="17"/>
    </row>
    <row r="110" spans="1:8" x14ac:dyDescent="0.35">
      <c r="A110" s="2"/>
      <c r="B110" s="76" t="str">
        <f t="shared" si="1"/>
        <v>SCE_PD_EAD_BE_X_Stage_3_BOYSCE_Product</v>
      </c>
      <c r="C110" s="46">
        <v>0.1</v>
      </c>
      <c r="D110" s="71" t="s">
        <v>434</v>
      </c>
      <c r="E110" s="17" t="s">
        <v>72</v>
      </c>
      <c r="F110" s="17" t="s">
        <v>220</v>
      </c>
      <c r="G110" s="70"/>
      <c r="H110" s="17"/>
    </row>
    <row r="111" spans="1:8" x14ac:dyDescent="0.35">
      <c r="A111" s="2"/>
      <c r="B111" s="76" t="str">
        <f t="shared" si="1"/>
        <v>SCE_PD_EAD_BE_X_Stage_Oth_BOYSCE_Product</v>
      </c>
      <c r="C111" s="46">
        <v>0.1</v>
      </c>
      <c r="D111" s="71" t="s">
        <v>435</v>
      </c>
      <c r="E111" s="17" t="s">
        <v>72</v>
      </c>
      <c r="F111" s="17" t="s">
        <v>220</v>
      </c>
      <c r="G111" s="70"/>
      <c r="H111" s="17"/>
    </row>
    <row r="112" spans="1:8" x14ac:dyDescent="0.35">
      <c r="A112" s="2"/>
      <c r="B112" s="76" t="str">
        <f t="shared" si="1"/>
        <v>SCE_PD_LGD_FLR_DYKE_MTHD_FCTRSCE_Product</v>
      </c>
      <c r="C112" s="46">
        <v>0.1</v>
      </c>
      <c r="D112" s="17" t="s">
        <v>436</v>
      </c>
      <c r="E112" s="17" t="s">
        <v>72</v>
      </c>
      <c r="F112" s="17" t="s">
        <v>425</v>
      </c>
      <c r="G112" s="70"/>
      <c r="H112" s="17"/>
    </row>
    <row r="113" spans="1:8" x14ac:dyDescent="0.35">
      <c r="A113" s="2"/>
      <c r="B113" s="76" t="str">
        <f t="shared" si="1"/>
        <v>SCE_PD_MTP_SGMNT_MAINSCE_Product</v>
      </c>
      <c r="C113" s="46">
        <v>0.1</v>
      </c>
      <c r="D113" s="17" t="s">
        <v>437</v>
      </c>
      <c r="E113" s="17" t="s">
        <v>72</v>
      </c>
      <c r="F113" s="17" t="s">
        <v>279</v>
      </c>
      <c r="G113" s="70"/>
      <c r="H113" s="17"/>
    </row>
    <row r="114" spans="1:8" x14ac:dyDescent="0.35">
      <c r="A114" s="2"/>
      <c r="B114" s="76" t="str">
        <f t="shared" si="1"/>
        <v>SCE_PD_MTP_SGMNT_SUB_1SCE_Product</v>
      </c>
      <c r="C114" s="46">
        <v>0.1</v>
      </c>
      <c r="D114" s="71" t="s">
        <v>438</v>
      </c>
      <c r="E114" s="17" t="s">
        <v>72</v>
      </c>
      <c r="F114" s="17" t="s">
        <v>279</v>
      </c>
      <c r="G114" s="70"/>
      <c r="H114" s="17"/>
    </row>
    <row r="115" spans="1:8" x14ac:dyDescent="0.35">
      <c r="A115" s="2"/>
      <c r="B115" s="76" t="str">
        <f t="shared" si="1"/>
        <v>SCE_PD_MTP_SGMNT_SUB_2SCE_Product</v>
      </c>
      <c r="C115" s="46">
        <v>0.1</v>
      </c>
      <c r="D115" s="71" t="s">
        <v>439</v>
      </c>
      <c r="E115" s="17" t="s">
        <v>72</v>
      </c>
      <c r="F115" s="17" t="s">
        <v>279</v>
      </c>
      <c r="G115" s="70"/>
      <c r="H115" s="17"/>
    </row>
    <row r="116" spans="1:8" x14ac:dyDescent="0.35">
      <c r="A116" s="2"/>
      <c r="B116" s="76" t="str">
        <f t="shared" si="1"/>
        <v>SCE_PD_MTP_SGMNT_SUB_3SCE_Product</v>
      </c>
      <c r="C116" s="46">
        <v>0.1</v>
      </c>
      <c r="D116" s="71" t="s">
        <v>440</v>
      </c>
      <c r="E116" s="17" t="s">
        <v>72</v>
      </c>
      <c r="F116" s="17" t="s">
        <v>279</v>
      </c>
      <c r="G116" s="70"/>
      <c r="H116" s="17"/>
    </row>
    <row r="117" spans="1:8" x14ac:dyDescent="0.35">
      <c r="A117" s="2"/>
      <c r="B117" s="76" t="str">
        <f t="shared" si="1"/>
        <v>SCE_PD_FA_FLGSCE_Product</v>
      </c>
      <c r="C117" s="46">
        <v>0.1</v>
      </c>
      <c r="D117" s="17" t="s">
        <v>441</v>
      </c>
      <c r="E117" s="17" t="s">
        <v>72</v>
      </c>
      <c r="F117" s="17" t="s">
        <v>65</v>
      </c>
      <c r="G117" s="70"/>
      <c r="H117" s="17"/>
    </row>
    <row r="118" spans="1:8" x14ac:dyDescent="0.35">
      <c r="A118" s="2"/>
      <c r="B118" s="76" t="str">
        <f t="shared" si="1"/>
        <v>SCE_PD_NO_MAP_ORIGSCE_Product</v>
      </c>
      <c r="C118" s="46">
        <v>0.1</v>
      </c>
      <c r="D118" s="17" t="s">
        <v>269</v>
      </c>
      <c r="E118" s="17" t="s">
        <v>72</v>
      </c>
      <c r="F118" s="17" t="s">
        <v>10</v>
      </c>
      <c r="G118" s="70"/>
      <c r="H118" s="17" t="s">
        <v>132</v>
      </c>
    </row>
    <row r="119" spans="1:8" x14ac:dyDescent="0.35">
      <c r="A119" s="2"/>
      <c r="B119" s="76" t="str">
        <f t="shared" si="1"/>
        <v>SCE_PD_SSM_CODE_MAP_ORIGSCE_Product</v>
      </c>
      <c r="C119" s="46">
        <v>0.1</v>
      </c>
      <c r="D119" s="17" t="s">
        <v>270</v>
      </c>
      <c r="E119" s="17" t="s">
        <v>72</v>
      </c>
      <c r="F119" s="17" t="s">
        <v>14</v>
      </c>
      <c r="G119" s="70"/>
      <c r="H119" s="17" t="s">
        <v>132</v>
      </c>
    </row>
    <row r="120" spans="1:8" x14ac:dyDescent="0.35">
      <c r="A120" s="2"/>
      <c r="B120" s="76" t="str">
        <f t="shared" si="1"/>
        <v>SCE_PD_BUS_REF_DTS_MAP_ORIGSCE_Product</v>
      </c>
      <c r="C120" s="46">
        <v>0.1</v>
      </c>
      <c r="D120" s="17" t="s">
        <v>271</v>
      </c>
      <c r="E120" s="17" t="s">
        <v>72</v>
      </c>
      <c r="F120" s="17" t="s">
        <v>16</v>
      </c>
      <c r="G120" s="70"/>
      <c r="H120" s="17" t="s">
        <v>132</v>
      </c>
    </row>
    <row r="121" spans="1:8" x14ac:dyDescent="0.35">
      <c r="A121" s="2"/>
      <c r="B121" s="76" t="str">
        <f t="shared" si="1"/>
        <v>SCE_PD_PRD_SEQ_NOSCE_Product</v>
      </c>
      <c r="C121" s="46" t="s">
        <v>42</v>
      </c>
      <c r="D121" s="22" t="s">
        <v>95</v>
      </c>
      <c r="E121" s="22" t="s">
        <v>72</v>
      </c>
      <c r="F121" s="22" t="s">
        <v>68</v>
      </c>
      <c r="G121" s="70"/>
      <c r="H121" s="17"/>
    </row>
    <row r="122" spans="1:8" x14ac:dyDescent="0.35">
      <c r="A122" s="2"/>
      <c r="B122" s="76" t="str">
        <f t="shared" si="1"/>
        <v>FMR_TRD_BUS_REF_DTSSCE_Product_DER</v>
      </c>
      <c r="C122" s="46">
        <v>0.1</v>
      </c>
      <c r="D122" s="17" t="s">
        <v>274</v>
      </c>
      <c r="E122" s="17" t="s">
        <v>76</v>
      </c>
      <c r="F122" s="17" t="s">
        <v>16</v>
      </c>
      <c r="G122" s="17" t="s">
        <v>4</v>
      </c>
      <c r="H122" s="17" t="s">
        <v>275</v>
      </c>
    </row>
    <row r="123" spans="1:8" x14ac:dyDescent="0.35">
      <c r="A123" s="2"/>
      <c r="B123" s="76" t="str">
        <f t="shared" si="1"/>
        <v>FMR_TRD_REF_DEAL_IDSCE_Product_DER</v>
      </c>
      <c r="C123" s="46">
        <v>0.1</v>
      </c>
      <c r="D123" s="17" t="s">
        <v>276</v>
      </c>
      <c r="E123" s="17" t="s">
        <v>76</v>
      </c>
      <c r="F123" s="17" t="s">
        <v>18</v>
      </c>
      <c r="G123" s="17" t="s">
        <v>4</v>
      </c>
      <c r="H123" s="17" t="s">
        <v>277</v>
      </c>
    </row>
    <row r="124" spans="1:8" x14ac:dyDescent="0.35">
      <c r="A124" s="2"/>
      <c r="B124" s="76" t="str">
        <f t="shared" si="1"/>
        <v>FMR_TRD_SSM_CODESCE_Product_DER</v>
      </c>
      <c r="C124" s="46">
        <v>0.1</v>
      </c>
      <c r="D124" s="17" t="s">
        <v>278</v>
      </c>
      <c r="E124" s="17" t="s">
        <v>76</v>
      </c>
      <c r="F124" s="17" t="s">
        <v>279</v>
      </c>
      <c r="G124" s="17" t="s">
        <v>4</v>
      </c>
      <c r="H124" s="17" t="s">
        <v>280</v>
      </c>
    </row>
    <row r="125" spans="1:8" x14ac:dyDescent="0.35">
      <c r="A125" s="2"/>
      <c r="B125" s="76" t="str">
        <f t="shared" si="1"/>
        <v>FMR_TRD_REG_CPTL_EAD_AMTSCE_Product_DER</v>
      </c>
      <c r="C125" s="46">
        <v>0.1</v>
      </c>
      <c r="D125" s="71" t="s">
        <v>281</v>
      </c>
      <c r="E125" s="17" t="s">
        <v>76</v>
      </c>
      <c r="F125" s="17" t="s">
        <v>217</v>
      </c>
      <c r="G125" s="70"/>
      <c r="H125" s="17" t="s">
        <v>282</v>
      </c>
    </row>
    <row r="126" spans="1:8" x14ac:dyDescent="0.35">
      <c r="A126" s="2"/>
      <c r="B126" s="76" t="str">
        <f t="shared" si="1"/>
        <v>FMR_TRD_REG_CPTL_EAD_STRS_AMTSCE_Product_DER</v>
      </c>
      <c r="C126" s="46">
        <v>0.1</v>
      </c>
      <c r="D126" s="71" t="s">
        <v>284</v>
      </c>
      <c r="E126" s="17" t="s">
        <v>76</v>
      </c>
      <c r="F126" s="17" t="s">
        <v>217</v>
      </c>
      <c r="G126" s="70"/>
      <c r="H126" s="17" t="s">
        <v>285</v>
      </c>
    </row>
    <row r="127" spans="1:8" x14ac:dyDescent="0.35">
      <c r="A127" s="2"/>
      <c r="B127" s="76" t="str">
        <f t="shared" si="1"/>
        <v>FMR_TRD_STD_APRC_EAD_AMTSCE_Product_DER</v>
      </c>
      <c r="C127" s="46">
        <v>0.1</v>
      </c>
      <c r="D127" s="17" t="s">
        <v>287</v>
      </c>
      <c r="E127" s="17" t="s">
        <v>76</v>
      </c>
      <c r="F127" s="17" t="s">
        <v>217</v>
      </c>
      <c r="G127" s="70"/>
      <c r="H127" s="17" t="s">
        <v>288</v>
      </c>
    </row>
    <row r="128" spans="1:8" x14ac:dyDescent="0.35">
      <c r="A128" s="2"/>
      <c r="B128" s="76" t="str">
        <f t="shared" si="1"/>
        <v>SCE_PD_BUS_REF_DTSSCE_Product_DER</v>
      </c>
      <c r="C128" s="46">
        <v>0.1</v>
      </c>
      <c r="D128" s="17" t="s">
        <v>241</v>
      </c>
      <c r="E128" s="17" t="s">
        <v>76</v>
      </c>
      <c r="F128" s="17" t="s">
        <v>16</v>
      </c>
      <c r="G128" s="70"/>
      <c r="H128" s="17" t="s">
        <v>242</v>
      </c>
    </row>
    <row r="129" spans="1:8" x14ac:dyDescent="0.35">
      <c r="A129" s="2"/>
      <c r="B129" s="76" t="str">
        <f t="shared" si="1"/>
        <v>SCE_PD_NOSCE_Product_DER</v>
      </c>
      <c r="C129" s="46">
        <v>0.1</v>
      </c>
      <c r="D129" s="17" t="s">
        <v>237</v>
      </c>
      <c r="E129" s="17" t="s">
        <v>76</v>
      </c>
      <c r="F129" s="17" t="s">
        <v>10</v>
      </c>
      <c r="G129" s="70"/>
      <c r="H129" s="17" t="s">
        <v>238</v>
      </c>
    </row>
    <row r="130" spans="1:8" x14ac:dyDescent="0.35">
      <c r="A130" s="2"/>
      <c r="B130" s="76" t="str">
        <f t="shared" si="1"/>
        <v>SCE_PD_SSM_CODESCE_Product_DER</v>
      </c>
      <c r="C130" s="46">
        <v>0.1</v>
      </c>
      <c r="D130" s="17" t="s">
        <v>239</v>
      </c>
      <c r="E130" s="17" t="s">
        <v>76</v>
      </c>
      <c r="F130" s="17" t="s">
        <v>14</v>
      </c>
      <c r="G130" s="70"/>
      <c r="H130" s="17" t="s">
        <v>240</v>
      </c>
    </row>
    <row r="131" spans="1:8" x14ac:dyDescent="0.35">
      <c r="A131" s="2"/>
      <c r="B131" s="76" t="str">
        <f t="shared" ref="B131:B194" si="2">CONCATENATE(D131,E131)</f>
        <v>FMR_TRD_BUS_REF_DTS_ORIGSCE_Product_DER</v>
      </c>
      <c r="C131" s="46">
        <v>0.1</v>
      </c>
      <c r="D131" s="17" t="s">
        <v>290</v>
      </c>
      <c r="E131" s="17" t="s">
        <v>76</v>
      </c>
      <c r="F131" s="17" t="s">
        <v>16</v>
      </c>
      <c r="G131" s="70"/>
      <c r="H131" s="17" t="s">
        <v>132</v>
      </c>
    </row>
    <row r="132" spans="1:8" x14ac:dyDescent="0.35">
      <c r="A132" s="2"/>
      <c r="B132" s="76" t="str">
        <f t="shared" si="2"/>
        <v>FMR_TRD_REF_DEAL_ID_ORIGSCE_Product_DER</v>
      </c>
      <c r="C132" s="46">
        <v>0.1</v>
      </c>
      <c r="D132" s="17" t="s">
        <v>291</v>
      </c>
      <c r="E132" s="17" t="s">
        <v>76</v>
      </c>
      <c r="F132" s="17" t="s">
        <v>18</v>
      </c>
      <c r="G132" s="70"/>
      <c r="H132" s="17" t="s">
        <v>132</v>
      </c>
    </row>
    <row r="133" spans="1:8" x14ac:dyDescent="0.35">
      <c r="A133" s="2"/>
      <c r="B133" s="76" t="str">
        <f t="shared" si="2"/>
        <v>FMR_TRD_SSM_CODE_ORIGSCE_Product_DER</v>
      </c>
      <c r="C133" s="46">
        <v>0.1</v>
      </c>
      <c r="D133" s="17" t="s">
        <v>292</v>
      </c>
      <c r="E133" s="17" t="s">
        <v>76</v>
      </c>
      <c r="F133" s="17" t="s">
        <v>279</v>
      </c>
      <c r="G133" s="70"/>
      <c r="H133" s="17" t="s">
        <v>132</v>
      </c>
    </row>
    <row r="134" spans="1:8" x14ac:dyDescent="0.35">
      <c r="A134" s="2"/>
      <c r="B134" s="76" t="str">
        <f t="shared" si="2"/>
        <v>FMR_TRD_REF_DEAL_ID_MAP_ORIGSCE_Product_DER</v>
      </c>
      <c r="C134" s="46">
        <v>0.1</v>
      </c>
      <c r="D134" s="17" t="s">
        <v>293</v>
      </c>
      <c r="E134" s="17" t="s">
        <v>76</v>
      </c>
      <c r="F134" s="17" t="s">
        <v>18</v>
      </c>
      <c r="G134" s="70"/>
      <c r="H134" s="17" t="s">
        <v>132</v>
      </c>
    </row>
    <row r="135" spans="1:8" x14ac:dyDescent="0.35">
      <c r="A135" s="2"/>
      <c r="B135" s="76" t="str">
        <f t="shared" si="2"/>
        <v>FMR_TRD_SSM_CODE_MAP_ORIGSCE_Product_DER</v>
      </c>
      <c r="C135" s="46">
        <v>0.1</v>
      </c>
      <c r="D135" s="17" t="s">
        <v>294</v>
      </c>
      <c r="E135" s="17" t="s">
        <v>76</v>
      </c>
      <c r="F135" s="17" t="s">
        <v>279</v>
      </c>
      <c r="G135" s="70"/>
      <c r="H135" s="17" t="s">
        <v>132</v>
      </c>
    </row>
    <row r="136" spans="1:8" x14ac:dyDescent="0.35">
      <c r="A136" s="2"/>
      <c r="B136" s="76" t="str">
        <f t="shared" si="2"/>
        <v>FMR_TRD_BUS_REF_DTS_MAP_ORIGSCE_Product_DER</v>
      </c>
      <c r="C136" s="46">
        <v>0.1</v>
      </c>
      <c r="D136" s="17" t="s">
        <v>295</v>
      </c>
      <c r="E136" s="17" t="s">
        <v>76</v>
      </c>
      <c r="F136" s="17" t="s">
        <v>16</v>
      </c>
      <c r="G136" s="70"/>
      <c r="H136" s="17" t="s">
        <v>132</v>
      </c>
    </row>
    <row r="137" spans="1:8" x14ac:dyDescent="0.35">
      <c r="A137" s="2"/>
      <c r="B137" s="76" t="str">
        <f t="shared" si="2"/>
        <v>SCE_PD_DER_DEPTSCE_Product_DER</v>
      </c>
      <c r="C137" s="46">
        <v>0.1</v>
      </c>
      <c r="D137" s="78" t="s">
        <v>297</v>
      </c>
      <c r="E137" s="17" t="s">
        <v>76</v>
      </c>
      <c r="F137" s="17" t="s">
        <v>10</v>
      </c>
      <c r="G137" s="70"/>
      <c r="H137" s="17"/>
    </row>
    <row r="138" spans="1:8" x14ac:dyDescent="0.35">
      <c r="A138" s="2"/>
      <c r="B138" s="76" t="str">
        <f t="shared" si="2"/>
        <v>CLT_AR_BUS_REF_DTSCollateral_Arrangement</v>
      </c>
      <c r="C138" s="46">
        <v>0.1</v>
      </c>
      <c r="D138" s="17" t="s">
        <v>298</v>
      </c>
      <c r="E138" s="17" t="s">
        <v>299</v>
      </c>
      <c r="F138" s="17" t="s">
        <v>16</v>
      </c>
      <c r="G138" s="17" t="s">
        <v>4</v>
      </c>
      <c r="H138" s="17" t="s">
        <v>300</v>
      </c>
    </row>
    <row r="139" spans="1:8" x14ac:dyDescent="0.35">
      <c r="A139" s="2"/>
      <c r="B139" s="76" t="str">
        <f t="shared" si="2"/>
        <v>CLT_AR_NOCollateral_Arrangement</v>
      </c>
      <c r="C139" s="46">
        <v>0.1</v>
      </c>
      <c r="D139" s="17" t="s">
        <v>301</v>
      </c>
      <c r="E139" s="17" t="s">
        <v>299</v>
      </c>
      <c r="F139" s="17" t="s">
        <v>302</v>
      </c>
      <c r="G139" s="17" t="s">
        <v>4</v>
      </c>
      <c r="H139" s="17" t="s">
        <v>303</v>
      </c>
    </row>
    <row r="140" spans="1:8" x14ac:dyDescent="0.35">
      <c r="A140" s="2"/>
      <c r="B140" s="76" t="str">
        <f t="shared" si="2"/>
        <v>CLT_AR_SSM_CODECollateral_Arrangement</v>
      </c>
      <c r="C140" s="46">
        <v>0.1</v>
      </c>
      <c r="D140" s="17" t="s">
        <v>304</v>
      </c>
      <c r="E140" s="17" t="s">
        <v>299</v>
      </c>
      <c r="F140" s="17" t="s">
        <v>14</v>
      </c>
      <c r="G140" s="17" t="s">
        <v>4</v>
      </c>
      <c r="H140" s="17" t="s">
        <v>305</v>
      </c>
    </row>
    <row r="141" spans="1:8" x14ac:dyDescent="0.35">
      <c r="A141" s="2"/>
      <c r="B141" s="76" t="str">
        <f t="shared" si="2"/>
        <v>CLT_AR_NML_VAL_AMTCollateral_Arrangement</v>
      </c>
      <c r="C141" s="46">
        <v>0.1</v>
      </c>
      <c r="D141" s="17" t="s">
        <v>306</v>
      </c>
      <c r="E141" s="17" t="s">
        <v>299</v>
      </c>
      <c r="F141" s="17" t="s">
        <v>220</v>
      </c>
      <c r="G141" s="70"/>
      <c r="H141" s="17" t="s">
        <v>307</v>
      </c>
    </row>
    <row r="142" spans="1:8" x14ac:dyDescent="0.35">
      <c r="A142" s="2"/>
      <c r="B142" s="76" t="str">
        <f t="shared" si="2"/>
        <v>CLT_AR_STRT_DTCollateral_Arrangement</v>
      </c>
      <c r="C142" s="46">
        <v>0.1</v>
      </c>
      <c r="D142" s="17" t="s">
        <v>308</v>
      </c>
      <c r="E142" s="17" t="s">
        <v>299</v>
      </c>
      <c r="F142" s="17" t="s">
        <v>33</v>
      </c>
      <c r="G142" s="70"/>
      <c r="H142" s="17" t="s">
        <v>309</v>
      </c>
    </row>
    <row r="143" spans="1:8" x14ac:dyDescent="0.35">
      <c r="A143" s="2"/>
      <c r="B143" s="76" t="str">
        <f t="shared" si="2"/>
        <v>CLT_AR_END_DTCollateral_Arrangement</v>
      </c>
      <c r="C143" s="46">
        <v>0.1</v>
      </c>
      <c r="D143" s="17" t="s">
        <v>310</v>
      </c>
      <c r="E143" s="17" t="s">
        <v>299</v>
      </c>
      <c r="F143" s="17" t="s">
        <v>33</v>
      </c>
      <c r="G143" s="70"/>
      <c r="H143" s="17" t="s">
        <v>311</v>
      </c>
    </row>
    <row r="144" spans="1:8" x14ac:dyDescent="0.35">
      <c r="A144" s="2"/>
      <c r="B144" s="76" t="str">
        <f t="shared" si="2"/>
        <v>CLT_AR_NO_ORIGCollateral_Arrangement</v>
      </c>
      <c r="C144" s="46">
        <v>0.1</v>
      </c>
      <c r="D144" s="17" t="s">
        <v>312</v>
      </c>
      <c r="E144" s="17" t="s">
        <v>299</v>
      </c>
      <c r="F144" s="17" t="s">
        <v>302</v>
      </c>
      <c r="G144" s="70"/>
      <c r="H144" s="17"/>
    </row>
    <row r="145" spans="1:8" x14ac:dyDescent="0.35">
      <c r="A145" s="2"/>
      <c r="B145" s="76" t="str">
        <f t="shared" si="2"/>
        <v>CLT_AR_SSM_CODE_ORIGCollateral_Arrangement</v>
      </c>
      <c r="C145" s="46">
        <v>0.1</v>
      </c>
      <c r="D145" s="17" t="s">
        <v>313</v>
      </c>
      <c r="E145" s="17" t="s">
        <v>299</v>
      </c>
      <c r="F145" s="17" t="s">
        <v>14</v>
      </c>
      <c r="G145" s="70"/>
      <c r="H145" s="17"/>
    </row>
    <row r="146" spans="1:8" x14ac:dyDescent="0.35">
      <c r="A146" s="2"/>
      <c r="B146" s="76" t="str">
        <f t="shared" si="2"/>
        <v>CLT_AR_BUS_REF_DTS_ORIGCollateral_Arrangement</v>
      </c>
      <c r="C146" s="46">
        <v>0.1</v>
      </c>
      <c r="D146" s="17" t="s">
        <v>314</v>
      </c>
      <c r="E146" s="17" t="s">
        <v>299</v>
      </c>
      <c r="F146" s="17" t="s">
        <v>16</v>
      </c>
      <c r="G146" s="70"/>
      <c r="H146" s="17"/>
    </row>
    <row r="147" spans="1:8" x14ac:dyDescent="0.35">
      <c r="A147" s="2"/>
      <c r="B147" s="76" t="str">
        <f t="shared" si="2"/>
        <v>CLT_AR_NO_MAP_ORIGCollateral_Arrangement</v>
      </c>
      <c r="C147" s="46">
        <v>0.1</v>
      </c>
      <c r="D147" s="17" t="s">
        <v>315</v>
      </c>
      <c r="E147" s="17" t="s">
        <v>299</v>
      </c>
      <c r="F147" s="17" t="s">
        <v>302</v>
      </c>
      <c r="G147" s="70"/>
      <c r="H147" s="17" t="s">
        <v>132</v>
      </c>
    </row>
    <row r="148" spans="1:8" x14ac:dyDescent="0.35">
      <c r="A148" s="2"/>
      <c r="B148" s="76" t="str">
        <f t="shared" si="2"/>
        <v>CLT_AR_SSM_CODE_MAP_ORIGCollateral_Arrangement</v>
      </c>
      <c r="C148" s="46">
        <v>0.1</v>
      </c>
      <c r="D148" s="17" t="s">
        <v>316</v>
      </c>
      <c r="E148" s="17" t="s">
        <v>299</v>
      </c>
      <c r="F148" s="17" t="s">
        <v>14</v>
      </c>
      <c r="G148" s="70"/>
      <c r="H148" s="17" t="s">
        <v>132</v>
      </c>
    </row>
    <row r="149" spans="1:8" x14ac:dyDescent="0.35">
      <c r="A149" s="2"/>
      <c r="B149" s="76" t="str">
        <f t="shared" si="2"/>
        <v>CLT_AR_BUS_REF_DTS_MAP_ORIGCollateral_Arrangement</v>
      </c>
      <c r="C149" s="46">
        <v>0.1</v>
      </c>
      <c r="D149" s="17" t="s">
        <v>317</v>
      </c>
      <c r="E149" s="17" t="s">
        <v>299</v>
      </c>
      <c r="F149" s="17" t="s">
        <v>16</v>
      </c>
      <c r="G149" s="70"/>
      <c r="H149" s="17" t="s">
        <v>132</v>
      </c>
    </row>
    <row r="150" spans="1:8" x14ac:dyDescent="0.35">
      <c r="A150" s="2"/>
      <c r="B150" s="76" t="str">
        <f t="shared" si="2"/>
        <v>CLT_OBJ_BUS_REF_DTSCollateral_Object</v>
      </c>
      <c r="C150" s="46">
        <v>0.1</v>
      </c>
      <c r="D150" s="17" t="s">
        <v>318</v>
      </c>
      <c r="E150" s="17" t="s">
        <v>319</v>
      </c>
      <c r="F150" s="17" t="s">
        <v>16</v>
      </c>
      <c r="G150" s="17" t="s">
        <v>4</v>
      </c>
      <c r="H150" s="17" t="s">
        <v>320</v>
      </c>
    </row>
    <row r="151" spans="1:8" x14ac:dyDescent="0.35">
      <c r="A151" s="2"/>
      <c r="B151" s="76" t="str">
        <f t="shared" si="2"/>
        <v>CLT_OBJ_NOCollateral_Object</v>
      </c>
      <c r="C151" s="46">
        <v>0.1</v>
      </c>
      <c r="D151" s="17" t="s">
        <v>321</v>
      </c>
      <c r="E151" s="17" t="s">
        <v>319</v>
      </c>
      <c r="F151" s="17" t="s">
        <v>302</v>
      </c>
      <c r="G151" s="17" t="s">
        <v>4</v>
      </c>
      <c r="H151" s="17" t="s">
        <v>322</v>
      </c>
    </row>
    <row r="152" spans="1:8" x14ac:dyDescent="0.35">
      <c r="A152" s="2"/>
      <c r="B152" s="76" t="str">
        <f t="shared" si="2"/>
        <v>CLT_OBJ_SSM_CODECollateral_Object</v>
      </c>
      <c r="C152" s="46">
        <v>0.1</v>
      </c>
      <c r="D152" s="17" t="s">
        <v>323</v>
      </c>
      <c r="E152" s="17" t="s">
        <v>319</v>
      </c>
      <c r="F152" s="17" t="s">
        <v>14</v>
      </c>
      <c r="G152" s="17" t="s">
        <v>4</v>
      </c>
      <c r="H152" s="17" t="s">
        <v>324</v>
      </c>
    </row>
    <row r="153" spans="1:8" x14ac:dyDescent="0.35">
      <c r="A153" s="2"/>
      <c r="B153" s="76" t="str">
        <f t="shared" si="2"/>
        <v>CLT_OBJ_BUS_REF_DTS_ORIGCollateral_Object</v>
      </c>
      <c r="C153" s="46">
        <v>0.1</v>
      </c>
      <c r="D153" s="17" t="s">
        <v>325</v>
      </c>
      <c r="E153" s="17" t="s">
        <v>319</v>
      </c>
      <c r="F153" s="17" t="s">
        <v>16</v>
      </c>
      <c r="G153" s="70"/>
      <c r="H153" s="17"/>
    </row>
    <row r="154" spans="1:8" x14ac:dyDescent="0.35">
      <c r="A154" s="2"/>
      <c r="B154" s="76" t="str">
        <f t="shared" si="2"/>
        <v>CLT_OBJ_NO_ORIGCollateral_Object</v>
      </c>
      <c r="C154" s="46">
        <v>0.1</v>
      </c>
      <c r="D154" s="17" t="s">
        <v>326</v>
      </c>
      <c r="E154" s="17" t="s">
        <v>319</v>
      </c>
      <c r="F154" s="17" t="s">
        <v>302</v>
      </c>
      <c r="G154" s="70"/>
      <c r="H154" s="17"/>
    </row>
    <row r="155" spans="1:8" x14ac:dyDescent="0.35">
      <c r="A155" s="2"/>
      <c r="B155" s="76" t="str">
        <f t="shared" si="2"/>
        <v>CLT_OBJ_SSM_CODE_ORIGCollateral_Object</v>
      </c>
      <c r="C155" s="46">
        <v>0.1</v>
      </c>
      <c r="D155" s="17" t="s">
        <v>327</v>
      </c>
      <c r="E155" s="17" t="s">
        <v>319</v>
      </c>
      <c r="F155" s="17" t="s">
        <v>14</v>
      </c>
      <c r="G155" s="70"/>
      <c r="H155" s="17"/>
    </row>
    <row r="156" spans="1:8" x14ac:dyDescent="0.35">
      <c r="A156" s="2"/>
      <c r="B156" s="76" t="str">
        <f t="shared" si="2"/>
        <v>CLT_OBJ_TP_CODECollateral_Object</v>
      </c>
      <c r="C156" s="46">
        <v>0.1</v>
      </c>
      <c r="D156" s="17" t="s">
        <v>330</v>
      </c>
      <c r="E156" s="17" t="s">
        <v>319</v>
      </c>
      <c r="F156" s="17" t="s">
        <v>279</v>
      </c>
      <c r="G156" s="70"/>
      <c r="H156" s="17" t="s">
        <v>331</v>
      </c>
    </row>
    <row r="157" spans="1:8" x14ac:dyDescent="0.35">
      <c r="A157" s="2"/>
      <c r="B157" s="76" t="str">
        <f t="shared" si="2"/>
        <v>CLT_OBJ_NO_MAP_ORIGCollateral_Object</v>
      </c>
      <c r="C157" s="46">
        <v>0.1</v>
      </c>
      <c r="D157" s="70" t="s">
        <v>332</v>
      </c>
      <c r="E157" s="22" t="s">
        <v>319</v>
      </c>
      <c r="F157" s="79" t="s">
        <v>302</v>
      </c>
      <c r="G157" s="70"/>
      <c r="H157" s="17" t="s">
        <v>132</v>
      </c>
    </row>
    <row r="158" spans="1:8" x14ac:dyDescent="0.35">
      <c r="A158" s="2"/>
      <c r="B158" s="76" t="str">
        <f t="shared" si="2"/>
        <v>CLT_OBJ_SSM_CODE_MAP_ORIGCollateral_Object</v>
      </c>
      <c r="C158" s="46">
        <v>0.1</v>
      </c>
      <c r="D158" s="70" t="s">
        <v>333</v>
      </c>
      <c r="E158" s="22" t="s">
        <v>319</v>
      </c>
      <c r="F158" s="22" t="s">
        <v>14</v>
      </c>
      <c r="G158" s="70"/>
      <c r="H158" s="17" t="s">
        <v>132</v>
      </c>
    </row>
    <row r="159" spans="1:8" x14ac:dyDescent="0.35">
      <c r="A159" s="2"/>
      <c r="B159" s="76" t="str">
        <f t="shared" si="2"/>
        <v>CLT_OBJ_BUS_REF_DTS_MAP_ORIGCollateral_Object</v>
      </c>
      <c r="C159" s="46">
        <v>0.1</v>
      </c>
      <c r="D159" s="70" t="s">
        <v>334</v>
      </c>
      <c r="E159" s="22" t="s">
        <v>319</v>
      </c>
      <c r="F159" s="79" t="s">
        <v>16</v>
      </c>
      <c r="G159" s="70"/>
      <c r="H159" s="17" t="s">
        <v>132</v>
      </c>
    </row>
    <row r="160" spans="1:8" x14ac:dyDescent="0.35">
      <c r="A160" s="2"/>
      <c r="B160" s="76" t="str">
        <f t="shared" si="2"/>
        <v>CLT_OBJ_BUS_REF_DTSCollateral_Object_Value</v>
      </c>
      <c r="C160" s="46">
        <v>0.1</v>
      </c>
      <c r="D160" s="17" t="s">
        <v>318</v>
      </c>
      <c r="E160" s="17" t="s">
        <v>335</v>
      </c>
      <c r="F160" s="17" t="s">
        <v>16</v>
      </c>
      <c r="G160" s="17" t="s">
        <v>4</v>
      </c>
      <c r="H160" s="17" t="s">
        <v>320</v>
      </c>
    </row>
    <row r="161" spans="1:8" x14ac:dyDescent="0.35">
      <c r="A161" s="2"/>
      <c r="B161" s="76" t="str">
        <f t="shared" si="2"/>
        <v>CLT_OBJ_NOCollateral_Object_Value</v>
      </c>
      <c r="C161" s="46">
        <v>0.1</v>
      </c>
      <c r="D161" s="17" t="s">
        <v>321</v>
      </c>
      <c r="E161" s="17" t="s">
        <v>335</v>
      </c>
      <c r="F161" s="17" t="s">
        <v>302</v>
      </c>
      <c r="G161" s="17" t="s">
        <v>4</v>
      </c>
      <c r="H161" s="17" t="s">
        <v>322</v>
      </c>
    </row>
    <row r="162" spans="1:8" x14ac:dyDescent="0.35">
      <c r="A162" s="2"/>
      <c r="B162" s="76" t="str">
        <f t="shared" si="2"/>
        <v>CLT_OBJ_SSM_CODECollateral_Object_Value</v>
      </c>
      <c r="C162" s="46">
        <v>0.1</v>
      </c>
      <c r="D162" s="17" t="s">
        <v>323</v>
      </c>
      <c r="E162" s="17" t="s">
        <v>335</v>
      </c>
      <c r="F162" s="17" t="s">
        <v>14</v>
      </c>
      <c r="G162" s="17" t="s">
        <v>4</v>
      </c>
      <c r="H162" s="17" t="s">
        <v>324</v>
      </c>
    </row>
    <row r="163" spans="1:8" x14ac:dyDescent="0.35">
      <c r="A163" s="2"/>
      <c r="B163" s="76" t="str">
        <f t="shared" si="2"/>
        <v>CLT_OBJ_VAL_DTCollateral_Object_Value</v>
      </c>
      <c r="C163" s="46">
        <v>0.1</v>
      </c>
      <c r="D163" s="17" t="s">
        <v>336</v>
      </c>
      <c r="E163" s="18" t="s">
        <v>335</v>
      </c>
      <c r="F163" s="17" t="s">
        <v>33</v>
      </c>
      <c r="G163" s="17" t="s">
        <v>4</v>
      </c>
      <c r="H163" s="17" t="s">
        <v>337</v>
      </c>
    </row>
    <row r="164" spans="1:8" x14ac:dyDescent="0.35">
      <c r="A164" s="2"/>
      <c r="B164" s="76" t="str">
        <f t="shared" si="2"/>
        <v>CLT_OBJ_VAL_VAL_TP_CODECollateral_Object_Value</v>
      </c>
      <c r="C164" s="46">
        <v>0.1</v>
      </c>
      <c r="D164" s="17" t="s">
        <v>338</v>
      </c>
      <c r="E164" s="18" t="s">
        <v>335</v>
      </c>
      <c r="F164" s="17" t="s">
        <v>339</v>
      </c>
      <c r="G164" s="17" t="s">
        <v>4</v>
      </c>
      <c r="H164" s="17" t="s">
        <v>340</v>
      </c>
    </row>
    <row r="165" spans="1:8" x14ac:dyDescent="0.35">
      <c r="A165" s="2"/>
      <c r="B165" s="76" t="str">
        <f t="shared" si="2"/>
        <v>CLT_OBJ_VAL_APRV_FCollateral_Object_Value</v>
      </c>
      <c r="C165" s="46">
        <v>0.1</v>
      </c>
      <c r="D165" s="17" t="s">
        <v>341</v>
      </c>
      <c r="E165" s="18" t="s">
        <v>335</v>
      </c>
      <c r="F165" s="17" t="s">
        <v>342</v>
      </c>
      <c r="G165" s="70"/>
      <c r="H165" s="17" t="s">
        <v>343</v>
      </c>
    </row>
    <row r="166" spans="1:8" x14ac:dyDescent="0.35">
      <c r="A166" s="2"/>
      <c r="B166" s="76" t="str">
        <f t="shared" si="2"/>
        <v>CLT_OBJ_VAL_MTH_CODECollateral_Object_Value</v>
      </c>
      <c r="C166" s="46">
        <v>0.1</v>
      </c>
      <c r="D166" s="17" t="s">
        <v>344</v>
      </c>
      <c r="E166" s="18" t="s">
        <v>335</v>
      </c>
      <c r="F166" s="17" t="s">
        <v>14</v>
      </c>
      <c r="G166" s="17" t="s">
        <v>4</v>
      </c>
      <c r="H166" s="17" t="s">
        <v>345</v>
      </c>
    </row>
    <row r="167" spans="1:8" x14ac:dyDescent="0.35">
      <c r="A167" s="2"/>
      <c r="B167" s="76" t="str">
        <f t="shared" si="2"/>
        <v>CLT_OBJ_VAL_VAL_AMTCollateral_Object_Value</v>
      </c>
      <c r="C167" s="46">
        <v>0.1</v>
      </c>
      <c r="D167" s="17" t="s">
        <v>346</v>
      </c>
      <c r="E167" s="17" t="s">
        <v>335</v>
      </c>
      <c r="F167" s="17" t="s">
        <v>220</v>
      </c>
      <c r="G167" s="70"/>
      <c r="H167" s="17" t="s">
        <v>347</v>
      </c>
    </row>
    <row r="168" spans="1:8" x14ac:dyDescent="0.35">
      <c r="A168" s="2"/>
      <c r="B168" s="76" t="str">
        <f t="shared" si="2"/>
        <v>COL_IDCollateral_Item</v>
      </c>
      <c r="C168" s="46">
        <v>0.1</v>
      </c>
      <c r="D168" s="17" t="s">
        <v>348</v>
      </c>
      <c r="E168" s="17" t="s">
        <v>349</v>
      </c>
      <c r="F168" s="17" t="s">
        <v>10</v>
      </c>
      <c r="G168" s="17" t="s">
        <v>4</v>
      </c>
      <c r="H168" s="17" t="s">
        <v>350</v>
      </c>
    </row>
    <row r="169" spans="1:8" x14ac:dyDescent="0.35">
      <c r="A169" s="2"/>
      <c r="B169" s="76" t="str">
        <f t="shared" si="2"/>
        <v>META_SSM_CODECollateral_Item</v>
      </c>
      <c r="C169" s="46">
        <v>0.1</v>
      </c>
      <c r="D169" s="17" t="s">
        <v>351</v>
      </c>
      <c r="E169" s="17" t="s">
        <v>349</v>
      </c>
      <c r="F169" s="17" t="s">
        <v>352</v>
      </c>
      <c r="G169" s="17" t="s">
        <v>4</v>
      </c>
      <c r="H169" s="17" t="s">
        <v>353</v>
      </c>
    </row>
    <row r="170" spans="1:8" x14ac:dyDescent="0.35">
      <c r="A170" s="2"/>
      <c r="B170" s="76" t="str">
        <f t="shared" si="2"/>
        <v>COL_BUS_REF_DTSCollateral_Item</v>
      </c>
      <c r="C170" s="46">
        <v>0.1</v>
      </c>
      <c r="D170" s="17" t="s">
        <v>354</v>
      </c>
      <c r="E170" s="17" t="s">
        <v>349</v>
      </c>
      <c r="F170" s="17" t="s">
        <v>16</v>
      </c>
      <c r="G170" s="17" t="s">
        <v>4</v>
      </c>
      <c r="H170" s="17" t="s">
        <v>355</v>
      </c>
    </row>
    <row r="171" spans="1:8" x14ac:dyDescent="0.35">
      <c r="A171" s="2"/>
      <c r="B171" s="76" t="str">
        <f t="shared" si="2"/>
        <v>COL_CURRVAL_EURCollateral_Item</v>
      </c>
      <c r="C171" s="46">
        <v>0.1</v>
      </c>
      <c r="D171" s="17" t="s">
        <v>360</v>
      </c>
      <c r="E171" s="17" t="s">
        <v>349</v>
      </c>
      <c r="F171" s="17" t="s">
        <v>361</v>
      </c>
      <c r="G171" s="70"/>
      <c r="H171" s="17" t="s">
        <v>362</v>
      </c>
    </row>
    <row r="172" spans="1:8" x14ac:dyDescent="0.35">
      <c r="A172" s="2"/>
      <c r="B172" s="76" t="str">
        <f t="shared" si="2"/>
        <v>COL_DT_OF_VALCollateral_Item</v>
      </c>
      <c r="C172" s="46">
        <v>0.1</v>
      </c>
      <c r="D172" s="17" t="s">
        <v>363</v>
      </c>
      <c r="E172" s="17" t="s">
        <v>349</v>
      </c>
      <c r="F172" s="17" t="s">
        <v>33</v>
      </c>
      <c r="G172" s="70"/>
      <c r="H172" s="17" t="s">
        <v>364</v>
      </c>
    </row>
    <row r="173" spans="1:8" x14ac:dyDescent="0.35">
      <c r="A173" s="2"/>
      <c r="B173" s="76" t="str">
        <f t="shared" si="2"/>
        <v>COL_AMT_OF_T3P_CLM_EURCollateral_Item</v>
      </c>
      <c r="C173" s="46">
        <v>0.1</v>
      </c>
      <c r="D173" s="17" t="s">
        <v>365</v>
      </c>
      <c r="E173" s="17" t="s">
        <v>349</v>
      </c>
      <c r="F173" s="17" t="s">
        <v>361</v>
      </c>
      <c r="G173" s="70"/>
      <c r="H173" s="17" t="s">
        <v>366</v>
      </c>
    </row>
    <row r="174" spans="1:8" x14ac:dyDescent="0.35">
      <c r="A174" s="2"/>
      <c r="B174" s="76" t="str">
        <f t="shared" si="2"/>
        <v>COL_ORIG_VAL_DTCollateral_Item</v>
      </c>
      <c r="C174" s="46">
        <v>0.1</v>
      </c>
      <c r="D174" s="17" t="s">
        <v>367</v>
      </c>
      <c r="E174" s="17" t="s">
        <v>349</v>
      </c>
      <c r="F174" s="17" t="s">
        <v>33</v>
      </c>
      <c r="G174" s="70"/>
      <c r="H174" s="17" t="s">
        <v>368</v>
      </c>
    </row>
    <row r="175" spans="1:8" x14ac:dyDescent="0.35">
      <c r="A175" s="2"/>
      <c r="B175" s="76" t="str">
        <f t="shared" si="2"/>
        <v>COL_MAT_DTCollateral_Item</v>
      </c>
      <c r="C175" s="46">
        <v>0.1</v>
      </c>
      <c r="D175" s="17" t="s">
        <v>369</v>
      </c>
      <c r="E175" s="17" t="s">
        <v>349</v>
      </c>
      <c r="F175" s="17" t="s">
        <v>33</v>
      </c>
      <c r="G175" s="70"/>
      <c r="H175" s="17" t="s">
        <v>370</v>
      </c>
    </row>
    <row r="176" spans="1:8" x14ac:dyDescent="0.35">
      <c r="A176" s="2"/>
      <c r="B176" s="76" t="str">
        <f t="shared" si="2"/>
        <v>COL_BUS_REF_DTS_ORIGCollateral_Item</v>
      </c>
      <c r="C176" s="46">
        <v>0.1</v>
      </c>
      <c r="D176" s="17" t="s">
        <v>371</v>
      </c>
      <c r="E176" s="17" t="s">
        <v>349</v>
      </c>
      <c r="F176" s="17" t="s">
        <v>16</v>
      </c>
      <c r="G176" s="70"/>
      <c r="H176" s="17" t="s">
        <v>132</v>
      </c>
    </row>
    <row r="177" spans="1:8" x14ac:dyDescent="0.35">
      <c r="A177" s="2"/>
      <c r="B177" s="76" t="str">
        <f t="shared" si="2"/>
        <v>COL_ID_ORIGCollateral_Item</v>
      </c>
      <c r="C177" s="46">
        <v>0.1</v>
      </c>
      <c r="D177" s="17" t="s">
        <v>372</v>
      </c>
      <c r="E177" s="17" t="s">
        <v>349</v>
      </c>
      <c r="F177" s="17" t="s">
        <v>10</v>
      </c>
      <c r="G177" s="70"/>
      <c r="H177" s="17" t="s">
        <v>132</v>
      </c>
    </row>
    <row r="178" spans="1:8" x14ac:dyDescent="0.35">
      <c r="A178" s="2"/>
      <c r="B178" s="76" t="str">
        <f t="shared" si="2"/>
        <v>META_SSM_CODE_ORIGCollateral_Item</v>
      </c>
      <c r="C178" s="46">
        <v>0.1</v>
      </c>
      <c r="D178" s="17" t="s">
        <v>373</v>
      </c>
      <c r="E178" s="17" t="s">
        <v>349</v>
      </c>
      <c r="F178" s="17" t="s">
        <v>352</v>
      </c>
      <c r="G178" s="70"/>
      <c r="H178" s="17" t="s">
        <v>132</v>
      </c>
    </row>
    <row r="179" spans="1:8" x14ac:dyDescent="0.35">
      <c r="A179" s="2"/>
      <c r="B179" s="76" t="str">
        <f t="shared" si="2"/>
        <v>COL_ID_MAP_ORIGCollateral_Item</v>
      </c>
      <c r="C179" s="46">
        <v>0.1</v>
      </c>
      <c r="D179" s="17" t="s">
        <v>374</v>
      </c>
      <c r="E179" s="17" t="s">
        <v>349</v>
      </c>
      <c r="F179" s="17" t="s">
        <v>10</v>
      </c>
      <c r="G179" s="70"/>
      <c r="H179" s="17" t="s">
        <v>132</v>
      </c>
    </row>
    <row r="180" spans="1:8" x14ac:dyDescent="0.35">
      <c r="A180" s="2"/>
      <c r="B180" s="76" t="str">
        <f t="shared" si="2"/>
        <v>META_SSM_CODE_MAP_ORIGCollateral_Item</v>
      </c>
      <c r="C180" s="46">
        <v>0.1</v>
      </c>
      <c r="D180" s="17" t="s">
        <v>375</v>
      </c>
      <c r="E180" s="17" t="s">
        <v>349</v>
      </c>
      <c r="F180" s="17" t="s">
        <v>352</v>
      </c>
      <c r="G180" s="70"/>
      <c r="H180" s="17" t="s">
        <v>132</v>
      </c>
    </row>
    <row r="181" spans="1:8" x14ac:dyDescent="0.35">
      <c r="A181" s="2"/>
      <c r="B181" s="76" t="str">
        <f t="shared" si="2"/>
        <v>COL_BUS_REF_DTS_MAP_ORIGCollateral_Item</v>
      </c>
      <c r="C181" s="46">
        <v>0.1</v>
      </c>
      <c r="D181" s="17" t="s">
        <v>376</v>
      </c>
      <c r="E181" s="17" t="s">
        <v>349</v>
      </c>
      <c r="F181" s="17" t="s">
        <v>16</v>
      </c>
      <c r="G181" s="70"/>
      <c r="H181" s="17" t="s">
        <v>132</v>
      </c>
    </row>
    <row r="182" spans="1:8" x14ac:dyDescent="0.35">
      <c r="A182" s="2"/>
      <c r="B182" s="76" t="str">
        <f t="shared" si="2"/>
        <v>REG_FCY_BUS_REF_DTSCLT_AR_LINE_ALLOCATION</v>
      </c>
      <c r="C182" s="46">
        <v>0.1</v>
      </c>
      <c r="D182" s="17" t="s">
        <v>190</v>
      </c>
      <c r="E182" s="17" t="s">
        <v>377</v>
      </c>
      <c r="F182" s="17" t="s">
        <v>16</v>
      </c>
      <c r="G182" s="17" t="s">
        <v>4</v>
      </c>
      <c r="H182" s="17" t="s">
        <v>191</v>
      </c>
    </row>
    <row r="183" spans="1:8" x14ac:dyDescent="0.35">
      <c r="A183" s="2"/>
      <c r="B183" s="76" t="str">
        <f t="shared" si="2"/>
        <v>REG_FCY_NOCLT_AR_LINE_ALLOCATION</v>
      </c>
      <c r="C183" s="46">
        <v>0.1</v>
      </c>
      <c r="D183" s="17" t="s">
        <v>186</v>
      </c>
      <c r="E183" s="17" t="s">
        <v>377</v>
      </c>
      <c r="F183" s="17" t="s">
        <v>10</v>
      </c>
      <c r="G183" s="17" t="s">
        <v>4</v>
      </c>
      <c r="H183" s="17" t="s">
        <v>187</v>
      </c>
    </row>
    <row r="184" spans="1:8" x14ac:dyDescent="0.35">
      <c r="A184" s="2"/>
      <c r="B184" s="76" t="str">
        <f t="shared" si="2"/>
        <v>REG_FCY_SSM_CODECLT_AR_LINE_ALLOCATION</v>
      </c>
      <c r="C184" s="46">
        <v>0.1</v>
      </c>
      <c r="D184" s="17" t="s">
        <v>188</v>
      </c>
      <c r="E184" s="17" t="s">
        <v>377</v>
      </c>
      <c r="F184" s="17" t="s">
        <v>14</v>
      </c>
      <c r="G184" s="17" t="s">
        <v>4</v>
      </c>
      <c r="H184" s="17" t="s">
        <v>189</v>
      </c>
    </row>
    <row r="185" spans="1:8" x14ac:dyDescent="0.35">
      <c r="A185" s="2"/>
      <c r="B185" s="76" t="str">
        <f t="shared" si="2"/>
        <v>CLT_AR_BUS_REF_DTSCLT_AR_LINE_ALLOCATION</v>
      </c>
      <c r="C185" s="46">
        <v>0.1</v>
      </c>
      <c r="D185" s="17" t="s">
        <v>298</v>
      </c>
      <c r="E185" s="17" t="s">
        <v>377</v>
      </c>
      <c r="F185" s="17" t="s">
        <v>16</v>
      </c>
      <c r="G185" s="17" t="s">
        <v>4</v>
      </c>
      <c r="H185" s="17" t="s">
        <v>300</v>
      </c>
    </row>
    <row r="186" spans="1:8" x14ac:dyDescent="0.35">
      <c r="A186" s="2"/>
      <c r="B186" s="76" t="str">
        <f t="shared" si="2"/>
        <v>CLT_AR_NOCLT_AR_LINE_ALLOCATION</v>
      </c>
      <c r="C186" s="46">
        <v>0.1</v>
      </c>
      <c r="D186" s="17" t="s">
        <v>301</v>
      </c>
      <c r="E186" s="17" t="s">
        <v>377</v>
      </c>
      <c r="F186" s="17" t="s">
        <v>302</v>
      </c>
      <c r="G186" s="17" t="s">
        <v>4</v>
      </c>
      <c r="H186" s="17" t="s">
        <v>303</v>
      </c>
    </row>
    <row r="187" spans="1:8" x14ac:dyDescent="0.35">
      <c r="A187" s="2"/>
      <c r="B187" s="76" t="str">
        <f t="shared" si="2"/>
        <v>CLT_AR_SSM_CODECLT_AR_LINE_ALLOCATION</v>
      </c>
      <c r="C187" s="46">
        <v>0.1</v>
      </c>
      <c r="D187" s="17" t="s">
        <v>304</v>
      </c>
      <c r="E187" s="17" t="s">
        <v>377</v>
      </c>
      <c r="F187" s="17" t="s">
        <v>14</v>
      </c>
      <c r="G187" s="17" t="s">
        <v>4</v>
      </c>
      <c r="H187" s="17" t="s">
        <v>305</v>
      </c>
    </row>
    <row r="188" spans="1:8" x14ac:dyDescent="0.35">
      <c r="A188" s="2"/>
      <c r="B188" s="76" t="str">
        <f t="shared" si="2"/>
        <v>REG_FCY_BUS_REF_DTS_ORIGCLT_AR_LINE_ALLOCATION</v>
      </c>
      <c r="C188" s="46">
        <v>0.1</v>
      </c>
      <c r="D188" s="17" t="s">
        <v>195</v>
      </c>
      <c r="E188" s="17" t="s">
        <v>377</v>
      </c>
      <c r="F188" s="17" t="s">
        <v>16</v>
      </c>
      <c r="G188" s="70"/>
      <c r="H188" s="17"/>
    </row>
    <row r="189" spans="1:8" x14ac:dyDescent="0.35">
      <c r="A189" s="2"/>
      <c r="B189" s="76" t="str">
        <f t="shared" si="2"/>
        <v>REG_FCY_NO_ORIGCLT_AR_LINE_ALLOCATION</v>
      </c>
      <c r="C189" s="46">
        <v>0.1</v>
      </c>
      <c r="D189" s="17" t="s">
        <v>193</v>
      </c>
      <c r="E189" s="17" t="s">
        <v>377</v>
      </c>
      <c r="F189" s="17" t="s">
        <v>10</v>
      </c>
      <c r="G189" s="70"/>
      <c r="H189" s="17"/>
    </row>
    <row r="190" spans="1:8" x14ac:dyDescent="0.35">
      <c r="A190" s="2"/>
      <c r="B190" s="76" t="str">
        <f t="shared" si="2"/>
        <v>REG_FCY_SSM_CODE_ORIGCLT_AR_LINE_ALLOCATION</v>
      </c>
      <c r="C190" s="46">
        <v>0.1</v>
      </c>
      <c r="D190" s="17" t="s">
        <v>194</v>
      </c>
      <c r="E190" s="17" t="s">
        <v>377</v>
      </c>
      <c r="F190" s="17" t="s">
        <v>14</v>
      </c>
      <c r="G190" s="70"/>
      <c r="H190" s="17"/>
    </row>
    <row r="191" spans="1:8" x14ac:dyDescent="0.35">
      <c r="A191" s="2"/>
      <c r="B191" s="76" t="str">
        <f t="shared" si="2"/>
        <v>REG_FCY_SSM_CODECLT_OBJ_LINE_ALLOCATION</v>
      </c>
      <c r="C191" s="46">
        <v>0.1</v>
      </c>
      <c r="D191" s="17" t="s">
        <v>188</v>
      </c>
      <c r="E191" s="17" t="s">
        <v>378</v>
      </c>
      <c r="F191" s="17" t="s">
        <v>14</v>
      </c>
      <c r="G191" s="17" t="s">
        <v>4</v>
      </c>
      <c r="H191" s="17" t="s">
        <v>189</v>
      </c>
    </row>
    <row r="192" spans="1:8" x14ac:dyDescent="0.35">
      <c r="A192" s="2"/>
      <c r="B192" s="76" t="str">
        <f t="shared" si="2"/>
        <v>REG_FCY_BUS_REF_DTSCLT_OBJ_LINE_ALLOCATION</v>
      </c>
      <c r="C192" s="46">
        <v>0.1</v>
      </c>
      <c r="D192" s="17" t="s">
        <v>190</v>
      </c>
      <c r="E192" s="17" t="s">
        <v>378</v>
      </c>
      <c r="F192" s="17" t="s">
        <v>16</v>
      </c>
      <c r="G192" s="17" t="s">
        <v>4</v>
      </c>
      <c r="H192" s="17" t="s">
        <v>191</v>
      </c>
    </row>
    <row r="193" spans="1:8" x14ac:dyDescent="0.35">
      <c r="A193" s="2"/>
      <c r="B193" s="76" t="str">
        <f t="shared" si="2"/>
        <v>REG_FCY_NOCLT_OBJ_LINE_ALLOCATION</v>
      </c>
      <c r="C193" s="46">
        <v>0.1</v>
      </c>
      <c r="D193" s="17" t="s">
        <v>186</v>
      </c>
      <c r="E193" s="17" t="s">
        <v>378</v>
      </c>
      <c r="F193" s="17" t="s">
        <v>10</v>
      </c>
      <c r="G193" s="17" t="s">
        <v>4</v>
      </c>
      <c r="H193" s="17" t="s">
        <v>187</v>
      </c>
    </row>
    <row r="194" spans="1:8" x14ac:dyDescent="0.35">
      <c r="A194" s="2"/>
      <c r="B194" s="76" t="str">
        <f t="shared" si="2"/>
        <v>CLT_OBJ_BUS_REF_DTSCLT_OBJ_LINE_ALLOCATION</v>
      </c>
      <c r="C194" s="46">
        <v>0.1</v>
      </c>
      <c r="D194" s="17" t="s">
        <v>318</v>
      </c>
      <c r="E194" s="17" t="s">
        <v>378</v>
      </c>
      <c r="F194" s="17" t="s">
        <v>16</v>
      </c>
      <c r="G194" s="17" t="s">
        <v>4</v>
      </c>
      <c r="H194" s="17" t="s">
        <v>320</v>
      </c>
    </row>
    <row r="195" spans="1:8" x14ac:dyDescent="0.35">
      <c r="A195" s="2"/>
      <c r="B195" s="76" t="str">
        <f t="shared" ref="B195:B212" si="3">CONCATENATE(D195,E195)</f>
        <v>CLT_OBJ_NOCLT_OBJ_LINE_ALLOCATION</v>
      </c>
      <c r="C195" s="46">
        <v>0.1</v>
      </c>
      <c r="D195" s="17" t="s">
        <v>321</v>
      </c>
      <c r="E195" s="17" t="s">
        <v>378</v>
      </c>
      <c r="F195" s="17" t="s">
        <v>302</v>
      </c>
      <c r="G195" s="17" t="s">
        <v>4</v>
      </c>
      <c r="H195" s="17" t="s">
        <v>322</v>
      </c>
    </row>
    <row r="196" spans="1:8" x14ac:dyDescent="0.35">
      <c r="A196" s="2"/>
      <c r="B196" s="76" t="str">
        <f t="shared" si="3"/>
        <v>CLT_OBJ_SSM_CODECLT_OBJ_LINE_ALLOCATION</v>
      </c>
      <c r="C196" s="46">
        <v>0.1</v>
      </c>
      <c r="D196" s="17" t="s">
        <v>323</v>
      </c>
      <c r="E196" s="17" t="s">
        <v>378</v>
      </c>
      <c r="F196" s="17" t="s">
        <v>14</v>
      </c>
      <c r="G196" s="17" t="s">
        <v>4</v>
      </c>
      <c r="H196" s="17" t="s">
        <v>324</v>
      </c>
    </row>
    <row r="197" spans="1:8" x14ac:dyDescent="0.35">
      <c r="A197" s="2"/>
      <c r="B197" s="76" t="str">
        <f t="shared" si="3"/>
        <v>REG_FCY_NO_ORIGCLT_OBJ_LINE_ALLOCATION</v>
      </c>
      <c r="C197" s="46">
        <v>0.1</v>
      </c>
      <c r="D197" s="17" t="s">
        <v>193</v>
      </c>
      <c r="E197" s="17" t="s">
        <v>378</v>
      </c>
      <c r="F197" s="17" t="s">
        <v>10</v>
      </c>
      <c r="G197" s="70"/>
      <c r="H197" s="17"/>
    </row>
    <row r="198" spans="1:8" x14ac:dyDescent="0.35">
      <c r="A198" s="2"/>
      <c r="B198" s="76" t="str">
        <f t="shared" si="3"/>
        <v>REG_FCY_SSM_CODE_ORIGCLT_OBJ_LINE_ALLOCATION</v>
      </c>
      <c r="C198" s="46">
        <v>0.1</v>
      </c>
      <c r="D198" s="17" t="s">
        <v>194</v>
      </c>
      <c r="E198" s="17" t="s">
        <v>378</v>
      </c>
      <c r="F198" s="17" t="s">
        <v>14</v>
      </c>
      <c r="G198" s="70"/>
      <c r="H198" s="17"/>
    </row>
    <row r="199" spans="1:8" x14ac:dyDescent="0.35">
      <c r="A199" s="2"/>
      <c r="B199" s="76" t="str">
        <f t="shared" si="3"/>
        <v>REG_FCY_BUS_REF_DTS_ORIGCLT_OBJ_LINE_ALLOCATION</v>
      </c>
      <c r="C199" s="46">
        <v>0.1</v>
      </c>
      <c r="D199" s="17" t="s">
        <v>195</v>
      </c>
      <c r="E199" s="17" t="s">
        <v>378</v>
      </c>
      <c r="F199" s="17" t="s">
        <v>16</v>
      </c>
      <c r="G199" s="70"/>
      <c r="H199" s="17"/>
    </row>
    <row r="200" spans="1:8" x14ac:dyDescent="0.35">
      <c r="A200" s="2"/>
      <c r="B200" s="76" t="str">
        <f t="shared" si="3"/>
        <v>CLT_AR_BUS_REF_DTSCLT_OBJ_TO_AR_LINE_ALLOCATION</v>
      </c>
      <c r="C200" s="46">
        <v>0.1</v>
      </c>
      <c r="D200" s="17" t="s">
        <v>298</v>
      </c>
      <c r="E200" s="17" t="s">
        <v>379</v>
      </c>
      <c r="F200" s="17" t="s">
        <v>16</v>
      </c>
      <c r="G200" s="17" t="s">
        <v>4</v>
      </c>
      <c r="H200" s="17" t="s">
        <v>300</v>
      </c>
    </row>
    <row r="201" spans="1:8" x14ac:dyDescent="0.35">
      <c r="A201" s="2"/>
      <c r="B201" s="76" t="str">
        <f t="shared" si="3"/>
        <v>CLT_AR_NOCLT_OBJ_TO_AR_LINE_ALLOCATION</v>
      </c>
      <c r="C201" s="46">
        <v>0.1</v>
      </c>
      <c r="D201" s="17" t="s">
        <v>301</v>
      </c>
      <c r="E201" s="17" t="s">
        <v>379</v>
      </c>
      <c r="F201" s="17" t="s">
        <v>302</v>
      </c>
      <c r="G201" s="17" t="s">
        <v>4</v>
      </c>
      <c r="H201" s="17" t="s">
        <v>303</v>
      </c>
    </row>
    <row r="202" spans="1:8" x14ac:dyDescent="0.35">
      <c r="A202" s="2"/>
      <c r="B202" s="76" t="str">
        <f t="shared" si="3"/>
        <v>CLT_AR_SSM_CODECLT_OBJ_TO_AR_LINE_ALLOCATION</v>
      </c>
      <c r="C202" s="46">
        <v>0.1</v>
      </c>
      <c r="D202" s="17" t="s">
        <v>304</v>
      </c>
      <c r="E202" s="17" t="s">
        <v>379</v>
      </c>
      <c r="F202" s="17" t="s">
        <v>14</v>
      </c>
      <c r="G202" s="17" t="s">
        <v>4</v>
      </c>
      <c r="H202" s="17" t="s">
        <v>305</v>
      </c>
    </row>
    <row r="203" spans="1:8" x14ac:dyDescent="0.35">
      <c r="A203" s="2"/>
      <c r="B203" s="76" t="str">
        <f t="shared" si="3"/>
        <v>CLT_OBJ_BUS_REF_DTSCLT_OBJ_TO_AR_LINE_ALLOCATION</v>
      </c>
      <c r="C203" s="46">
        <v>0.1</v>
      </c>
      <c r="D203" s="17" t="s">
        <v>318</v>
      </c>
      <c r="E203" s="17" t="s">
        <v>379</v>
      </c>
      <c r="F203" s="58" t="s">
        <v>16</v>
      </c>
      <c r="G203" s="17" t="s">
        <v>4</v>
      </c>
      <c r="H203" s="17" t="s">
        <v>320</v>
      </c>
    </row>
    <row r="204" spans="1:8" x14ac:dyDescent="0.35">
      <c r="A204" s="2"/>
      <c r="B204" s="76" t="str">
        <f t="shared" si="3"/>
        <v>CLT_OBJ_NOCLT_OBJ_TO_AR_LINE_ALLOCATION</v>
      </c>
      <c r="C204" s="46">
        <v>0.1</v>
      </c>
      <c r="D204" s="17" t="s">
        <v>321</v>
      </c>
      <c r="E204" s="17" t="s">
        <v>379</v>
      </c>
      <c r="F204" s="17" t="s">
        <v>302</v>
      </c>
      <c r="G204" s="17" t="s">
        <v>4</v>
      </c>
      <c r="H204" s="17" t="s">
        <v>322</v>
      </c>
    </row>
    <row r="205" spans="1:8" x14ac:dyDescent="0.35">
      <c r="A205" s="2"/>
      <c r="B205" s="76" t="str">
        <f t="shared" si="3"/>
        <v>CLT_OBJ_SSM_CODECLT_OBJ_TO_AR_LINE_ALLOCATION</v>
      </c>
      <c r="C205" s="46">
        <v>0.1</v>
      </c>
      <c r="D205" s="17" t="s">
        <v>323</v>
      </c>
      <c r="E205" s="17" t="s">
        <v>379</v>
      </c>
      <c r="F205" s="17" t="s">
        <v>14</v>
      </c>
      <c r="G205" s="17" t="s">
        <v>4</v>
      </c>
      <c r="H205" s="17" t="s">
        <v>324</v>
      </c>
    </row>
    <row r="206" spans="1:8" x14ac:dyDescent="0.35">
      <c r="A206" s="2"/>
      <c r="B206" s="76" t="str">
        <f t="shared" si="3"/>
        <v>STD_POORS_ISSUR_DMST_CCY_RTGObligor</v>
      </c>
      <c r="C206" s="46" t="s">
        <v>42</v>
      </c>
      <c r="D206" s="17" t="s">
        <v>49</v>
      </c>
      <c r="E206" s="17" t="s">
        <v>44</v>
      </c>
      <c r="F206" s="17" t="s">
        <v>45</v>
      </c>
      <c r="G206" s="17"/>
      <c r="H206" s="17"/>
    </row>
    <row r="207" spans="1:8" x14ac:dyDescent="0.35">
      <c r="A207" s="2"/>
      <c r="B207" s="76" t="str">
        <f t="shared" si="3"/>
        <v>STD_POORS_ISSUR_FRGN_CCY_RTGObligor</v>
      </c>
      <c r="C207" s="46" t="s">
        <v>42</v>
      </c>
      <c r="D207" s="17" t="s">
        <v>55</v>
      </c>
      <c r="E207" s="17" t="s">
        <v>44</v>
      </c>
      <c r="F207" s="17" t="s">
        <v>45</v>
      </c>
      <c r="G207" s="17"/>
      <c r="H207" s="17"/>
    </row>
    <row r="208" spans="1:8" x14ac:dyDescent="0.35">
      <c r="A208" s="2"/>
      <c r="B208" s="76" t="str">
        <f t="shared" si="3"/>
        <v>STD_POORS_SOV_ISSUR_DMST_SOV_CCY_RTGObligor</v>
      </c>
      <c r="C208" s="46" t="s">
        <v>42</v>
      </c>
      <c r="D208" s="17" t="s">
        <v>61</v>
      </c>
      <c r="E208" s="17" t="s">
        <v>44</v>
      </c>
      <c r="F208" s="17" t="s">
        <v>45</v>
      </c>
      <c r="G208" s="17"/>
      <c r="H208" s="17"/>
    </row>
    <row r="209" spans="1:8" x14ac:dyDescent="0.35">
      <c r="A209" s="2"/>
      <c r="B209" s="76" t="str">
        <f t="shared" si="3"/>
        <v>REG_FCY_PRTFLRegulatory_Facility</v>
      </c>
      <c r="C209" s="17">
        <v>0.1</v>
      </c>
      <c r="D209" s="80" t="s">
        <v>405</v>
      </c>
      <c r="E209" s="17" t="s">
        <v>93</v>
      </c>
      <c r="F209" s="17" t="s">
        <v>14</v>
      </c>
      <c r="G209" s="17"/>
      <c r="H209" s="17"/>
    </row>
    <row r="210" spans="1:8" x14ac:dyDescent="0.35">
      <c r="A210" s="2"/>
      <c r="B210" s="76" t="str">
        <f t="shared" si="3"/>
        <v>SCE_AGRM_STAGE_CURRENT_PERIOD_CODESCE_Agreement</v>
      </c>
      <c r="C210" s="46" t="s">
        <v>7</v>
      </c>
      <c r="D210" s="22" t="s">
        <v>67</v>
      </c>
      <c r="E210" s="22" t="s">
        <v>64</v>
      </c>
      <c r="F210" s="58" t="s">
        <v>68</v>
      </c>
      <c r="G210" s="58"/>
      <c r="H210" s="17" t="s">
        <v>409</v>
      </c>
    </row>
    <row r="211" spans="1:8" x14ac:dyDescent="0.35">
      <c r="A211" s="2"/>
      <c r="B211" s="76" t="str">
        <f t="shared" si="3"/>
        <v>SCE_AGRM_TAU_SEGSCE_Agreement</v>
      </c>
      <c r="C211" s="46"/>
      <c r="D211" s="22" t="s">
        <v>442</v>
      </c>
      <c r="E211" s="22" t="s">
        <v>64</v>
      </c>
      <c r="F211" s="58" t="s">
        <v>10</v>
      </c>
      <c r="G211" s="58"/>
      <c r="H211" s="17" t="s">
        <v>443</v>
      </c>
    </row>
    <row r="212" spans="1:8" x14ac:dyDescent="0.35">
      <c r="A212" s="2"/>
      <c r="B212" s="76" t="str">
        <f t="shared" si="3"/>
        <v>SCE_PD_TAU_SEGSCE_Product</v>
      </c>
      <c r="C212" s="46" t="s">
        <v>7</v>
      </c>
      <c r="D212" s="22" t="s">
        <v>96</v>
      </c>
      <c r="E212" s="22" t="s">
        <v>72</v>
      </c>
      <c r="F212" s="58" t="s">
        <v>10</v>
      </c>
      <c r="G212" s="58"/>
      <c r="H212" s="17" t="s">
        <v>444</v>
      </c>
    </row>
  </sheetData>
  <pageMargins left="0.7" right="0.7" top="0.75" bottom="0.75" header="0.3" footer="0.3"/>
  <customProperties>
    <customPr name="QAA_DRILLPATH_NODE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756E-BC8C-4FF0-A402-E571CAAD0454}">
  <sheetPr filterMode="1">
    <tabColor rgb="FF92D050"/>
  </sheetPr>
  <dimension ref="A1:T281"/>
  <sheetViews>
    <sheetView zoomScaleNormal="100" workbookViewId="0">
      <pane ySplit="1" topLeftCell="A79" activePane="bottomLeft" state="frozen"/>
      <selection activeCell="D1" sqref="D1"/>
      <selection pane="bottomLeft" activeCell="B98" sqref="B98"/>
    </sheetView>
  </sheetViews>
  <sheetFormatPr defaultColWidth="40.453125" defaultRowHeight="14.5" x14ac:dyDescent="0.35"/>
  <cols>
    <col min="1" max="1" width="11.453125" customWidth="1"/>
    <col min="2" max="2" width="37.81640625" customWidth="1"/>
    <col min="3" max="3" width="23" customWidth="1"/>
    <col min="4" max="4" width="7.7265625" customWidth="1"/>
    <col min="5" max="5" width="5.26953125" customWidth="1"/>
    <col min="6" max="6" width="5.453125" customWidth="1"/>
    <col min="7" max="7" width="5.54296875" customWidth="1"/>
    <col min="8" max="8" width="6.54296875" customWidth="1"/>
    <col min="9" max="9" width="7" customWidth="1"/>
    <col min="10" max="10" width="5.7265625" hidden="1" customWidth="1"/>
    <col min="11" max="11" width="8.54296875" customWidth="1"/>
    <col min="12" max="12" width="5.453125" customWidth="1"/>
    <col min="13" max="13" width="49.54296875" style="39" customWidth="1"/>
    <col min="14" max="14" width="17.26953125" customWidth="1"/>
    <col min="15" max="15" width="6.26953125" customWidth="1"/>
    <col min="16" max="16" width="18.81640625" customWidth="1"/>
    <col min="17" max="17" width="31.81640625" customWidth="1"/>
    <col min="18" max="18" width="16.453125" bestFit="1" customWidth="1"/>
    <col min="19" max="19" width="40.1796875" customWidth="1"/>
    <col min="20" max="20" width="25.1796875" customWidth="1"/>
  </cols>
  <sheetData>
    <row r="1" spans="1:20" s="30" customFormat="1" ht="44.15" customHeight="1" x14ac:dyDescent="0.35">
      <c r="A1" s="30" t="s">
        <v>445</v>
      </c>
      <c r="B1" s="26" t="s">
        <v>446</v>
      </c>
      <c r="C1" s="26" t="s">
        <v>2</v>
      </c>
      <c r="D1" s="31" t="s">
        <v>447</v>
      </c>
      <c r="E1" s="31" t="s">
        <v>448</v>
      </c>
      <c r="F1" s="31" t="s">
        <v>449</v>
      </c>
      <c r="G1" s="31" t="s">
        <v>450</v>
      </c>
      <c r="H1" s="31" t="s">
        <v>451</v>
      </c>
      <c r="I1" s="31" t="s">
        <v>452</v>
      </c>
      <c r="J1" s="31" t="s">
        <v>453</v>
      </c>
      <c r="K1" s="31" t="s">
        <v>454</v>
      </c>
      <c r="L1" s="31" t="s">
        <v>455</v>
      </c>
      <c r="M1" s="31" t="s">
        <v>456</v>
      </c>
      <c r="N1" s="26" t="s">
        <v>3</v>
      </c>
      <c r="O1" s="26" t="s">
        <v>4</v>
      </c>
      <c r="P1" s="27" t="s">
        <v>107</v>
      </c>
      <c r="Q1" s="28" t="s">
        <v>108</v>
      </c>
      <c r="R1" s="29" t="s">
        <v>109</v>
      </c>
      <c r="S1" s="29" t="s">
        <v>110</v>
      </c>
      <c r="T1" s="28" t="s">
        <v>111</v>
      </c>
    </row>
    <row r="2" spans="1:20" hidden="1" x14ac:dyDescent="0.35">
      <c r="B2" s="1" t="s">
        <v>190</v>
      </c>
      <c r="C2" s="1" t="s">
        <v>377</v>
      </c>
      <c r="D2" s="1" t="s">
        <v>457</v>
      </c>
      <c r="E2" s="1"/>
      <c r="F2" s="1"/>
      <c r="G2" s="1"/>
      <c r="H2" s="1"/>
      <c r="I2" s="1"/>
      <c r="J2" s="1"/>
      <c r="K2" s="1" t="s">
        <v>458</v>
      </c>
      <c r="L2" s="1"/>
      <c r="M2" s="1"/>
      <c r="N2" s="1" t="s">
        <v>16</v>
      </c>
      <c r="O2" s="11" t="s">
        <v>4</v>
      </c>
      <c r="P2" s="10" t="s">
        <v>191</v>
      </c>
      <c r="Q2" s="10" t="s">
        <v>114</v>
      </c>
      <c r="R2" s="10"/>
      <c r="S2" s="10"/>
      <c r="T2" s="12" t="s">
        <v>116</v>
      </c>
    </row>
    <row r="3" spans="1:20" hidden="1" x14ac:dyDescent="0.35">
      <c r="B3" s="1" t="s">
        <v>186</v>
      </c>
      <c r="C3" s="1" t="s">
        <v>377</v>
      </c>
      <c r="D3" s="1" t="s">
        <v>457</v>
      </c>
      <c r="E3" s="1"/>
      <c r="F3" s="1"/>
      <c r="G3" s="1"/>
      <c r="H3" s="1"/>
      <c r="I3" s="1"/>
      <c r="J3" s="1"/>
      <c r="K3" s="1" t="s">
        <v>458</v>
      </c>
      <c r="L3" s="1"/>
      <c r="M3" s="1"/>
      <c r="N3" s="1" t="s">
        <v>10</v>
      </c>
      <c r="O3" s="11" t="s">
        <v>4</v>
      </c>
      <c r="P3" s="10" t="s">
        <v>187</v>
      </c>
      <c r="Q3" s="10" t="s">
        <v>114</v>
      </c>
      <c r="R3" s="10"/>
      <c r="S3" s="10"/>
      <c r="T3" s="12" t="s">
        <v>116</v>
      </c>
    </row>
    <row r="4" spans="1:20" hidden="1" x14ac:dyDescent="0.35">
      <c r="B4" s="1" t="s">
        <v>188</v>
      </c>
      <c r="C4" s="1" t="s">
        <v>377</v>
      </c>
      <c r="D4" s="1" t="s">
        <v>457</v>
      </c>
      <c r="E4" s="1"/>
      <c r="F4" s="1"/>
      <c r="G4" s="1"/>
      <c r="H4" s="1"/>
      <c r="I4" s="1"/>
      <c r="J4" s="1"/>
      <c r="K4" s="1" t="s">
        <v>458</v>
      </c>
      <c r="L4" s="1"/>
      <c r="M4" s="1"/>
      <c r="N4" s="1" t="s">
        <v>14</v>
      </c>
      <c r="O4" s="11" t="s">
        <v>4</v>
      </c>
      <c r="P4" s="10" t="s">
        <v>189</v>
      </c>
      <c r="Q4" s="10" t="s">
        <v>114</v>
      </c>
      <c r="R4" s="10"/>
      <c r="S4" s="10"/>
      <c r="T4" s="12" t="s">
        <v>116</v>
      </c>
    </row>
    <row r="5" spans="1:20" hidden="1" x14ac:dyDescent="0.35">
      <c r="B5" s="1" t="s">
        <v>298</v>
      </c>
      <c r="C5" s="1" t="s">
        <v>377</v>
      </c>
      <c r="D5" s="1" t="s">
        <v>457</v>
      </c>
      <c r="E5" s="1"/>
      <c r="F5" s="1"/>
      <c r="G5" s="1"/>
      <c r="H5" s="1"/>
      <c r="I5" s="1"/>
      <c r="J5" s="1"/>
      <c r="K5" s="1" t="s">
        <v>458</v>
      </c>
      <c r="L5" s="1"/>
      <c r="M5" s="1"/>
      <c r="N5" s="1" t="s">
        <v>16</v>
      </c>
      <c r="O5" s="11" t="s">
        <v>4</v>
      </c>
      <c r="P5" s="10" t="s">
        <v>300</v>
      </c>
      <c r="Q5" s="10" t="s">
        <v>114</v>
      </c>
      <c r="R5" s="10"/>
      <c r="S5" s="10"/>
      <c r="T5" s="12" t="s">
        <v>116</v>
      </c>
    </row>
    <row r="6" spans="1:20" hidden="1" x14ac:dyDescent="0.35">
      <c r="B6" s="1" t="s">
        <v>301</v>
      </c>
      <c r="C6" s="1" t="s">
        <v>377</v>
      </c>
      <c r="D6" s="1" t="s">
        <v>457</v>
      </c>
      <c r="E6" s="1"/>
      <c r="F6" s="1"/>
      <c r="G6" s="1"/>
      <c r="H6" s="1"/>
      <c r="I6" s="1"/>
      <c r="J6" s="1"/>
      <c r="K6" s="1" t="s">
        <v>458</v>
      </c>
      <c r="L6" s="1"/>
      <c r="M6" s="1"/>
      <c r="N6" s="1" t="s">
        <v>302</v>
      </c>
      <c r="O6" s="11" t="s">
        <v>4</v>
      </c>
      <c r="P6" s="10" t="s">
        <v>303</v>
      </c>
      <c r="Q6" s="10" t="s">
        <v>114</v>
      </c>
      <c r="R6" s="10"/>
      <c r="S6" s="10"/>
      <c r="T6" s="12" t="s">
        <v>116</v>
      </c>
    </row>
    <row r="7" spans="1:20" hidden="1" x14ac:dyDescent="0.35">
      <c r="B7" s="1" t="s">
        <v>304</v>
      </c>
      <c r="C7" s="1" t="s">
        <v>377</v>
      </c>
      <c r="D7" s="1" t="s">
        <v>457</v>
      </c>
      <c r="E7" s="1"/>
      <c r="F7" s="1"/>
      <c r="G7" s="1"/>
      <c r="H7" s="1"/>
      <c r="I7" s="1"/>
      <c r="J7" s="1"/>
      <c r="K7" s="1" t="s">
        <v>458</v>
      </c>
      <c r="L7" s="1"/>
      <c r="M7" s="1"/>
      <c r="N7" s="1" t="s">
        <v>14</v>
      </c>
      <c r="O7" s="11" t="s">
        <v>4</v>
      </c>
      <c r="P7" s="10" t="s">
        <v>305</v>
      </c>
      <c r="Q7" s="10" t="s">
        <v>114</v>
      </c>
      <c r="R7" s="10"/>
      <c r="S7" s="10"/>
      <c r="T7" s="12" t="s">
        <v>116</v>
      </c>
    </row>
    <row r="8" spans="1:20" hidden="1" x14ac:dyDescent="0.35">
      <c r="B8" s="1" t="s">
        <v>195</v>
      </c>
      <c r="C8" s="1" t="s">
        <v>377</v>
      </c>
      <c r="D8" s="1" t="s">
        <v>459</v>
      </c>
      <c r="E8" s="1"/>
      <c r="F8" s="1"/>
      <c r="G8" s="1"/>
      <c r="H8" s="1" t="s">
        <v>460</v>
      </c>
      <c r="I8" s="1" t="s">
        <v>460</v>
      </c>
      <c r="J8" s="1" t="s">
        <v>461</v>
      </c>
      <c r="K8" s="1" t="s">
        <v>462</v>
      </c>
      <c r="L8" s="1"/>
      <c r="M8" s="1" t="s">
        <v>463</v>
      </c>
      <c r="N8" s="1" t="s">
        <v>16</v>
      </c>
      <c r="O8" s="11"/>
      <c r="P8" s="43" t="s">
        <v>132</v>
      </c>
      <c r="Q8" s="10" t="s">
        <v>133</v>
      </c>
      <c r="R8" s="10"/>
      <c r="S8" s="10"/>
      <c r="T8" s="12" t="s">
        <v>116</v>
      </c>
    </row>
    <row r="9" spans="1:20" hidden="1" x14ac:dyDescent="0.35">
      <c r="B9" s="1" t="s">
        <v>193</v>
      </c>
      <c r="C9" s="1" t="s">
        <v>377</v>
      </c>
      <c r="D9" s="1" t="s">
        <v>459</v>
      </c>
      <c r="E9" s="1"/>
      <c r="F9" s="1"/>
      <c r="G9" s="1"/>
      <c r="H9" s="1" t="s">
        <v>460</v>
      </c>
      <c r="I9" s="1" t="s">
        <v>460</v>
      </c>
      <c r="J9" s="1" t="s">
        <v>461</v>
      </c>
      <c r="K9" s="1" t="s">
        <v>462</v>
      </c>
      <c r="L9" s="1"/>
      <c r="M9" s="1" t="s">
        <v>463</v>
      </c>
      <c r="N9" s="1" t="s">
        <v>10</v>
      </c>
      <c r="O9" s="11"/>
      <c r="P9" s="43" t="s">
        <v>132</v>
      </c>
      <c r="Q9" s="10" t="s">
        <v>133</v>
      </c>
      <c r="R9" s="10"/>
      <c r="S9" s="10"/>
      <c r="T9" s="12" t="s">
        <v>116</v>
      </c>
    </row>
    <row r="10" spans="1:20" hidden="1" x14ac:dyDescent="0.35">
      <c r="B10" s="1" t="s">
        <v>194</v>
      </c>
      <c r="C10" s="1" t="s">
        <v>377</v>
      </c>
      <c r="D10" s="1" t="s">
        <v>459</v>
      </c>
      <c r="E10" s="1"/>
      <c r="F10" s="1"/>
      <c r="G10" s="1"/>
      <c r="H10" s="1" t="s">
        <v>460</v>
      </c>
      <c r="I10" s="1" t="s">
        <v>460</v>
      </c>
      <c r="J10" s="1" t="s">
        <v>461</v>
      </c>
      <c r="K10" s="1" t="s">
        <v>462</v>
      </c>
      <c r="L10" s="1"/>
      <c r="M10" s="1" t="s">
        <v>463</v>
      </c>
      <c r="N10" s="1" t="s">
        <v>14</v>
      </c>
      <c r="O10" s="11"/>
      <c r="P10" s="43" t="s">
        <v>132</v>
      </c>
      <c r="Q10" s="10" t="s">
        <v>133</v>
      </c>
      <c r="R10" s="10"/>
      <c r="S10" s="10"/>
      <c r="T10" s="12" t="s">
        <v>116</v>
      </c>
    </row>
    <row r="11" spans="1:20" hidden="1" x14ac:dyDescent="0.35">
      <c r="B11" s="1" t="s">
        <v>188</v>
      </c>
      <c r="C11" s="1" t="s">
        <v>378</v>
      </c>
      <c r="D11" s="1" t="s">
        <v>457</v>
      </c>
      <c r="E11" s="1"/>
      <c r="F11" s="1"/>
      <c r="G11" s="1"/>
      <c r="H11" s="1"/>
      <c r="I11" s="1"/>
      <c r="J11" s="1"/>
      <c r="K11" s="1" t="s">
        <v>458</v>
      </c>
      <c r="L11" s="1"/>
      <c r="M11" s="1"/>
      <c r="N11" s="1" t="s">
        <v>14</v>
      </c>
      <c r="O11" s="11" t="s">
        <v>4</v>
      </c>
      <c r="P11" s="10" t="s">
        <v>189</v>
      </c>
      <c r="Q11" s="10" t="s">
        <v>114</v>
      </c>
      <c r="R11" s="10"/>
      <c r="S11" s="10"/>
      <c r="T11" s="12" t="s">
        <v>116</v>
      </c>
    </row>
    <row r="12" spans="1:20" hidden="1" x14ac:dyDescent="0.35">
      <c r="B12" s="1" t="s">
        <v>190</v>
      </c>
      <c r="C12" s="1" t="s">
        <v>378</v>
      </c>
      <c r="D12" s="1" t="s">
        <v>457</v>
      </c>
      <c r="E12" s="1"/>
      <c r="F12" s="1"/>
      <c r="G12" s="1"/>
      <c r="H12" s="1"/>
      <c r="I12" s="1"/>
      <c r="J12" s="1"/>
      <c r="K12" s="1" t="s">
        <v>458</v>
      </c>
      <c r="L12" s="1"/>
      <c r="M12" s="1"/>
      <c r="N12" s="1" t="s">
        <v>16</v>
      </c>
      <c r="O12" s="11" t="s">
        <v>4</v>
      </c>
      <c r="P12" s="10" t="s">
        <v>191</v>
      </c>
      <c r="Q12" s="10" t="s">
        <v>114</v>
      </c>
      <c r="R12" s="10"/>
      <c r="S12" s="10"/>
      <c r="T12" s="12" t="s">
        <v>116</v>
      </c>
    </row>
    <row r="13" spans="1:20" hidden="1" x14ac:dyDescent="0.35">
      <c r="B13" s="1" t="s">
        <v>186</v>
      </c>
      <c r="C13" s="1" t="s">
        <v>378</v>
      </c>
      <c r="D13" s="1" t="s">
        <v>457</v>
      </c>
      <c r="E13" s="1"/>
      <c r="F13" s="1"/>
      <c r="G13" s="1"/>
      <c r="H13" s="1"/>
      <c r="I13" s="1"/>
      <c r="J13" s="1"/>
      <c r="K13" s="1" t="s">
        <v>458</v>
      </c>
      <c r="L13" s="1"/>
      <c r="M13" s="1"/>
      <c r="N13" s="1" t="s">
        <v>10</v>
      </c>
      <c r="O13" s="11" t="s">
        <v>4</v>
      </c>
      <c r="P13" s="10" t="s">
        <v>187</v>
      </c>
      <c r="Q13" s="10" t="s">
        <v>114</v>
      </c>
      <c r="R13" s="10"/>
      <c r="S13" s="10"/>
      <c r="T13" s="12" t="s">
        <v>116</v>
      </c>
    </row>
    <row r="14" spans="1:20" hidden="1" x14ac:dyDescent="0.35">
      <c r="B14" s="1" t="s">
        <v>318</v>
      </c>
      <c r="C14" s="1" t="s">
        <v>378</v>
      </c>
      <c r="D14" s="1" t="s">
        <v>457</v>
      </c>
      <c r="E14" s="1"/>
      <c r="F14" s="1"/>
      <c r="G14" s="1"/>
      <c r="H14" s="1"/>
      <c r="I14" s="1"/>
      <c r="J14" s="1"/>
      <c r="K14" s="1" t="s">
        <v>458</v>
      </c>
      <c r="L14" s="1"/>
      <c r="M14" s="1"/>
      <c r="N14" s="1" t="s">
        <v>16</v>
      </c>
      <c r="O14" s="11" t="s">
        <v>4</v>
      </c>
      <c r="P14" s="10" t="s">
        <v>320</v>
      </c>
      <c r="Q14" s="10" t="s">
        <v>114</v>
      </c>
      <c r="R14" s="10"/>
      <c r="S14" s="10"/>
      <c r="T14" s="12" t="s">
        <v>116</v>
      </c>
    </row>
    <row r="15" spans="1:20" hidden="1" x14ac:dyDescent="0.35">
      <c r="B15" s="1" t="s">
        <v>321</v>
      </c>
      <c r="C15" s="1" t="s">
        <v>378</v>
      </c>
      <c r="D15" s="1" t="s">
        <v>457</v>
      </c>
      <c r="E15" s="1"/>
      <c r="F15" s="1"/>
      <c r="G15" s="1"/>
      <c r="H15" s="1"/>
      <c r="I15" s="1"/>
      <c r="J15" s="1"/>
      <c r="K15" s="1" t="s">
        <v>458</v>
      </c>
      <c r="L15" s="1"/>
      <c r="M15" s="1"/>
      <c r="N15" s="1" t="s">
        <v>302</v>
      </c>
      <c r="O15" s="11" t="s">
        <v>4</v>
      </c>
      <c r="P15" s="10" t="s">
        <v>322</v>
      </c>
      <c r="Q15" s="10" t="s">
        <v>114</v>
      </c>
      <c r="R15" s="10"/>
      <c r="S15" s="10"/>
      <c r="T15" s="12" t="s">
        <v>116</v>
      </c>
    </row>
    <row r="16" spans="1:20" hidden="1" x14ac:dyDescent="0.35">
      <c r="B16" s="1" t="s">
        <v>323</v>
      </c>
      <c r="C16" s="1" t="s">
        <v>378</v>
      </c>
      <c r="D16" s="1" t="s">
        <v>457</v>
      </c>
      <c r="E16" s="1"/>
      <c r="F16" s="1"/>
      <c r="G16" s="1"/>
      <c r="H16" s="1"/>
      <c r="I16" s="1"/>
      <c r="J16" s="1"/>
      <c r="K16" s="1" t="s">
        <v>458</v>
      </c>
      <c r="L16" s="1"/>
      <c r="M16" s="1"/>
      <c r="N16" s="1" t="s">
        <v>14</v>
      </c>
      <c r="O16" s="11" t="s">
        <v>4</v>
      </c>
      <c r="P16" s="10" t="s">
        <v>324</v>
      </c>
      <c r="Q16" s="10" t="s">
        <v>114</v>
      </c>
      <c r="R16" s="10"/>
      <c r="S16" s="10"/>
      <c r="T16" s="12" t="s">
        <v>116</v>
      </c>
    </row>
    <row r="17" spans="2:20" hidden="1" x14ac:dyDescent="0.35">
      <c r="B17" s="1" t="s">
        <v>193</v>
      </c>
      <c r="C17" s="1" t="s">
        <v>378</v>
      </c>
      <c r="D17" s="1" t="s">
        <v>459</v>
      </c>
      <c r="E17" s="1"/>
      <c r="F17" s="1"/>
      <c r="G17" s="1"/>
      <c r="H17" s="1" t="s">
        <v>460</v>
      </c>
      <c r="I17" s="1" t="s">
        <v>460</v>
      </c>
      <c r="J17" s="1" t="s">
        <v>461</v>
      </c>
      <c r="K17" s="1" t="s">
        <v>462</v>
      </c>
      <c r="L17" s="1"/>
      <c r="M17" s="1" t="s">
        <v>463</v>
      </c>
      <c r="N17" s="1" t="s">
        <v>10</v>
      </c>
      <c r="O17" s="11"/>
      <c r="P17" s="43" t="s">
        <v>132</v>
      </c>
      <c r="Q17" s="10" t="s">
        <v>133</v>
      </c>
      <c r="R17" s="10"/>
      <c r="S17" s="10"/>
      <c r="T17" s="12" t="s">
        <v>116</v>
      </c>
    </row>
    <row r="18" spans="2:20" hidden="1" x14ac:dyDescent="0.35">
      <c r="B18" s="1" t="s">
        <v>194</v>
      </c>
      <c r="C18" s="1" t="s">
        <v>378</v>
      </c>
      <c r="D18" s="1" t="s">
        <v>459</v>
      </c>
      <c r="E18" s="1"/>
      <c r="F18" s="1"/>
      <c r="G18" s="1"/>
      <c r="H18" s="1" t="s">
        <v>460</v>
      </c>
      <c r="I18" s="1" t="s">
        <v>460</v>
      </c>
      <c r="J18" s="1" t="s">
        <v>461</v>
      </c>
      <c r="K18" s="1" t="s">
        <v>462</v>
      </c>
      <c r="L18" s="1"/>
      <c r="M18" s="1" t="s">
        <v>463</v>
      </c>
      <c r="N18" s="1" t="s">
        <v>14</v>
      </c>
      <c r="O18" s="11"/>
      <c r="P18" s="43" t="s">
        <v>132</v>
      </c>
      <c r="Q18" s="10" t="s">
        <v>133</v>
      </c>
      <c r="R18" s="10"/>
      <c r="S18" s="10"/>
      <c r="T18" s="12" t="s">
        <v>116</v>
      </c>
    </row>
    <row r="19" spans="2:20" hidden="1" x14ac:dyDescent="0.35">
      <c r="B19" s="1" t="s">
        <v>195</v>
      </c>
      <c r="C19" s="1" t="s">
        <v>378</v>
      </c>
      <c r="D19" s="1" t="s">
        <v>459</v>
      </c>
      <c r="E19" s="1"/>
      <c r="F19" s="1"/>
      <c r="G19" s="1"/>
      <c r="H19" s="1" t="s">
        <v>460</v>
      </c>
      <c r="I19" s="1" t="s">
        <v>460</v>
      </c>
      <c r="J19" s="1" t="s">
        <v>461</v>
      </c>
      <c r="K19" s="1" t="s">
        <v>462</v>
      </c>
      <c r="L19" s="1"/>
      <c r="M19" s="1" t="s">
        <v>463</v>
      </c>
      <c r="N19" s="1" t="s">
        <v>16</v>
      </c>
      <c r="O19" s="11"/>
      <c r="P19" s="43" t="s">
        <v>132</v>
      </c>
      <c r="Q19" s="10" t="s">
        <v>133</v>
      </c>
      <c r="R19" s="10"/>
      <c r="S19" s="10"/>
      <c r="T19" s="12" t="s">
        <v>116</v>
      </c>
    </row>
    <row r="20" spans="2:20" hidden="1" x14ac:dyDescent="0.35">
      <c r="B20" s="1" t="s">
        <v>298</v>
      </c>
      <c r="C20" s="1" t="s">
        <v>379</v>
      </c>
      <c r="D20" s="1" t="s">
        <v>457</v>
      </c>
      <c r="E20" s="1"/>
      <c r="F20" s="1"/>
      <c r="G20" s="1"/>
      <c r="H20" s="1"/>
      <c r="I20" s="1"/>
      <c r="J20" s="1"/>
      <c r="K20" s="1" t="s">
        <v>458</v>
      </c>
      <c r="L20" s="1"/>
      <c r="M20" s="1"/>
      <c r="N20" s="1" t="s">
        <v>16</v>
      </c>
      <c r="O20" s="11" t="s">
        <v>4</v>
      </c>
      <c r="P20" s="10" t="s">
        <v>300</v>
      </c>
      <c r="Q20" s="10" t="s">
        <v>114</v>
      </c>
      <c r="R20" s="10"/>
      <c r="S20" s="10"/>
      <c r="T20" s="12" t="s">
        <v>116</v>
      </c>
    </row>
    <row r="21" spans="2:20" hidden="1" x14ac:dyDescent="0.35">
      <c r="B21" s="1" t="s">
        <v>301</v>
      </c>
      <c r="C21" s="1" t="s">
        <v>379</v>
      </c>
      <c r="D21" s="1" t="s">
        <v>457</v>
      </c>
      <c r="E21" s="1"/>
      <c r="F21" s="1"/>
      <c r="G21" s="1"/>
      <c r="H21" s="1"/>
      <c r="I21" s="1"/>
      <c r="J21" s="1"/>
      <c r="K21" s="1" t="s">
        <v>458</v>
      </c>
      <c r="L21" s="1"/>
      <c r="M21" s="1"/>
      <c r="N21" s="1" t="s">
        <v>302</v>
      </c>
      <c r="O21" s="11" t="s">
        <v>4</v>
      </c>
      <c r="P21" s="10" t="s">
        <v>303</v>
      </c>
      <c r="Q21" s="10" t="s">
        <v>114</v>
      </c>
      <c r="R21" s="10"/>
      <c r="S21" s="10"/>
      <c r="T21" s="12" t="s">
        <v>116</v>
      </c>
    </row>
    <row r="22" spans="2:20" hidden="1" x14ac:dyDescent="0.35">
      <c r="B22" s="1" t="s">
        <v>304</v>
      </c>
      <c r="C22" s="1" t="s">
        <v>379</v>
      </c>
      <c r="D22" s="1" t="s">
        <v>457</v>
      </c>
      <c r="E22" s="1"/>
      <c r="F22" s="1"/>
      <c r="G22" s="1"/>
      <c r="H22" s="1"/>
      <c r="I22" s="1"/>
      <c r="J22" s="1"/>
      <c r="K22" s="1" t="s">
        <v>458</v>
      </c>
      <c r="L22" s="1"/>
      <c r="M22" s="1"/>
      <c r="N22" s="1" t="s">
        <v>14</v>
      </c>
      <c r="O22" s="11" t="s">
        <v>4</v>
      </c>
      <c r="P22" s="10" t="s">
        <v>305</v>
      </c>
      <c r="Q22" s="10" t="s">
        <v>114</v>
      </c>
      <c r="R22" s="10"/>
      <c r="S22" s="10"/>
      <c r="T22" s="12" t="s">
        <v>116</v>
      </c>
    </row>
    <row r="23" spans="2:20" hidden="1" x14ac:dyDescent="0.35">
      <c r="B23" s="1" t="s">
        <v>318</v>
      </c>
      <c r="C23" s="1" t="s">
        <v>379</v>
      </c>
      <c r="D23" s="1" t="s">
        <v>457</v>
      </c>
      <c r="E23" s="1"/>
      <c r="F23" s="1"/>
      <c r="G23" s="1"/>
      <c r="H23" s="1"/>
      <c r="I23" s="1"/>
      <c r="J23" s="1"/>
      <c r="K23" s="1" t="s">
        <v>458</v>
      </c>
      <c r="L23" s="1"/>
      <c r="M23" s="1"/>
      <c r="N23" s="1" t="s">
        <v>16</v>
      </c>
      <c r="O23" s="11" t="s">
        <v>4</v>
      </c>
      <c r="P23" s="10" t="s">
        <v>320</v>
      </c>
      <c r="Q23" s="10" t="s">
        <v>114</v>
      </c>
      <c r="R23" s="10"/>
      <c r="S23" s="10"/>
      <c r="T23" s="12" t="s">
        <v>116</v>
      </c>
    </row>
    <row r="24" spans="2:20" hidden="1" x14ac:dyDescent="0.35">
      <c r="B24" s="1" t="s">
        <v>321</v>
      </c>
      <c r="C24" s="1" t="s">
        <v>379</v>
      </c>
      <c r="D24" s="1" t="s">
        <v>457</v>
      </c>
      <c r="E24" s="1"/>
      <c r="F24" s="1"/>
      <c r="G24" s="1"/>
      <c r="H24" s="1"/>
      <c r="I24" s="1"/>
      <c r="J24" s="1"/>
      <c r="K24" s="1" t="s">
        <v>458</v>
      </c>
      <c r="L24" s="1"/>
      <c r="M24" s="1"/>
      <c r="N24" s="1" t="s">
        <v>302</v>
      </c>
      <c r="O24" s="11" t="s">
        <v>4</v>
      </c>
      <c r="P24" s="10" t="s">
        <v>322</v>
      </c>
      <c r="Q24" s="10" t="s">
        <v>114</v>
      </c>
      <c r="R24" s="10"/>
      <c r="S24" s="10"/>
      <c r="T24" s="12" t="s">
        <v>116</v>
      </c>
    </row>
    <row r="25" spans="2:20" hidden="1" x14ac:dyDescent="0.35">
      <c r="B25" s="1" t="s">
        <v>323</v>
      </c>
      <c r="C25" s="1" t="s">
        <v>379</v>
      </c>
      <c r="D25" s="1" t="s">
        <v>457</v>
      </c>
      <c r="E25" s="1"/>
      <c r="F25" s="1"/>
      <c r="G25" s="1"/>
      <c r="H25" s="1"/>
      <c r="I25" s="1"/>
      <c r="J25" s="1"/>
      <c r="K25" s="1" t="s">
        <v>458</v>
      </c>
      <c r="L25" s="1"/>
      <c r="M25" s="1"/>
      <c r="N25" s="1" t="s">
        <v>14</v>
      </c>
      <c r="O25" s="11" t="s">
        <v>4</v>
      </c>
      <c r="P25" s="10" t="s">
        <v>324</v>
      </c>
      <c r="Q25" s="10" t="s">
        <v>114</v>
      </c>
      <c r="R25" s="10"/>
      <c r="S25" s="10"/>
      <c r="T25" s="12" t="s">
        <v>116</v>
      </c>
    </row>
    <row r="26" spans="2:20" hidden="1" x14ac:dyDescent="0.35">
      <c r="B26" s="1" t="s">
        <v>298</v>
      </c>
      <c r="C26" s="1" t="s">
        <v>299</v>
      </c>
      <c r="D26" s="1" t="s">
        <v>457</v>
      </c>
      <c r="E26" s="1"/>
      <c r="F26" s="1"/>
      <c r="G26" s="1"/>
      <c r="H26" s="1"/>
      <c r="I26" s="1"/>
      <c r="J26" s="1"/>
      <c r="K26" s="1" t="s">
        <v>458</v>
      </c>
      <c r="L26" s="1"/>
      <c r="M26" s="1"/>
      <c r="N26" s="1" t="s">
        <v>16</v>
      </c>
      <c r="O26" s="11" t="s">
        <v>4</v>
      </c>
      <c r="P26" s="10" t="s">
        <v>300</v>
      </c>
      <c r="Q26" s="10" t="s">
        <v>114</v>
      </c>
      <c r="R26" s="10"/>
      <c r="S26" s="10"/>
      <c r="T26" s="12" t="s">
        <v>116</v>
      </c>
    </row>
    <row r="27" spans="2:20" hidden="1" x14ac:dyDescent="0.35">
      <c r="B27" s="1" t="s">
        <v>301</v>
      </c>
      <c r="C27" s="1" t="s">
        <v>299</v>
      </c>
      <c r="D27" s="1" t="s">
        <v>457</v>
      </c>
      <c r="E27" s="1"/>
      <c r="F27" s="1"/>
      <c r="G27" s="1"/>
      <c r="H27" s="1"/>
      <c r="I27" s="1"/>
      <c r="J27" s="1"/>
      <c r="K27" s="1" t="s">
        <v>458</v>
      </c>
      <c r="L27" s="1"/>
      <c r="M27" s="1"/>
      <c r="N27" s="1" t="s">
        <v>302</v>
      </c>
      <c r="O27" s="11" t="s">
        <v>4</v>
      </c>
      <c r="P27" s="10" t="s">
        <v>303</v>
      </c>
      <c r="Q27" s="10" t="s">
        <v>114</v>
      </c>
      <c r="R27" s="10"/>
      <c r="S27" s="10"/>
      <c r="T27" s="12" t="s">
        <v>116</v>
      </c>
    </row>
    <row r="28" spans="2:20" hidden="1" x14ac:dyDescent="0.35">
      <c r="B28" s="1" t="s">
        <v>304</v>
      </c>
      <c r="C28" s="1" t="s">
        <v>299</v>
      </c>
      <c r="D28" s="1" t="s">
        <v>457</v>
      </c>
      <c r="E28" s="1"/>
      <c r="F28" s="1"/>
      <c r="G28" s="1"/>
      <c r="H28" s="1"/>
      <c r="I28" s="1"/>
      <c r="J28" s="1"/>
      <c r="K28" s="1" t="s">
        <v>458</v>
      </c>
      <c r="L28" s="1"/>
      <c r="M28" s="1"/>
      <c r="N28" s="1" t="s">
        <v>14</v>
      </c>
      <c r="O28" s="11" t="s">
        <v>4</v>
      </c>
      <c r="P28" s="10" t="s">
        <v>305</v>
      </c>
      <c r="Q28" s="10" t="s">
        <v>114</v>
      </c>
      <c r="R28" s="10"/>
      <c r="S28" s="10"/>
      <c r="T28" s="12" t="s">
        <v>116</v>
      </c>
    </row>
    <row r="29" spans="2:20" hidden="1" x14ac:dyDescent="0.35">
      <c r="B29" s="1" t="s">
        <v>306</v>
      </c>
      <c r="C29" s="1" t="s">
        <v>299</v>
      </c>
      <c r="D29" s="1" t="s">
        <v>457</v>
      </c>
      <c r="E29" s="1"/>
      <c r="F29" s="1"/>
      <c r="G29" s="1"/>
      <c r="H29" s="1"/>
      <c r="I29" s="1"/>
      <c r="J29" s="1"/>
      <c r="K29" s="1" t="s">
        <v>458</v>
      </c>
      <c r="L29" s="1"/>
      <c r="M29" s="1"/>
      <c r="N29" s="1" t="s">
        <v>220</v>
      </c>
      <c r="O29" s="11"/>
      <c r="P29" s="10" t="s">
        <v>307</v>
      </c>
      <c r="Q29" s="10" t="s">
        <v>114</v>
      </c>
      <c r="R29" s="10"/>
      <c r="S29" s="10"/>
      <c r="T29" s="12" t="s">
        <v>116</v>
      </c>
    </row>
    <row r="30" spans="2:20" hidden="1" x14ac:dyDescent="0.35">
      <c r="B30" s="1" t="s">
        <v>308</v>
      </c>
      <c r="C30" s="1" t="s">
        <v>299</v>
      </c>
      <c r="D30" s="1" t="s">
        <v>457</v>
      </c>
      <c r="E30" s="1"/>
      <c r="F30" s="1"/>
      <c r="G30" s="1"/>
      <c r="H30" s="1"/>
      <c r="I30" s="1"/>
      <c r="J30" s="1"/>
      <c r="K30" s="1" t="s">
        <v>458</v>
      </c>
      <c r="L30" s="1"/>
      <c r="M30" s="1"/>
      <c r="N30" s="1" t="s">
        <v>33</v>
      </c>
      <c r="O30" s="11"/>
      <c r="P30" s="10" t="s">
        <v>309</v>
      </c>
      <c r="Q30" s="10" t="s">
        <v>114</v>
      </c>
      <c r="R30" s="10"/>
      <c r="S30" s="10"/>
      <c r="T30" s="12" t="s">
        <v>116</v>
      </c>
    </row>
    <row r="31" spans="2:20" hidden="1" x14ac:dyDescent="0.35">
      <c r="B31" s="1" t="s">
        <v>310</v>
      </c>
      <c r="C31" s="1" t="s">
        <v>299</v>
      </c>
      <c r="D31" s="1" t="s">
        <v>457</v>
      </c>
      <c r="E31" s="1"/>
      <c r="F31" s="1"/>
      <c r="G31" s="1"/>
      <c r="H31" s="1"/>
      <c r="I31" s="1"/>
      <c r="J31" s="1"/>
      <c r="K31" s="1" t="s">
        <v>458</v>
      </c>
      <c r="L31" s="1"/>
      <c r="M31" s="1"/>
      <c r="N31" s="1" t="s">
        <v>33</v>
      </c>
      <c r="O31" s="11"/>
      <c r="P31" s="10" t="s">
        <v>311</v>
      </c>
      <c r="Q31" s="10" t="s">
        <v>114</v>
      </c>
      <c r="R31" s="10"/>
      <c r="S31" s="10"/>
      <c r="T31" s="12" t="s">
        <v>116</v>
      </c>
    </row>
    <row r="32" spans="2:20" hidden="1" x14ac:dyDescent="0.35">
      <c r="B32" s="1" t="s">
        <v>312</v>
      </c>
      <c r="C32" s="1" t="s">
        <v>299</v>
      </c>
      <c r="D32" s="1" t="s">
        <v>459</v>
      </c>
      <c r="E32" s="1"/>
      <c r="F32" s="1"/>
      <c r="G32" s="1"/>
      <c r="H32" s="1" t="s">
        <v>460</v>
      </c>
      <c r="I32" s="1" t="s">
        <v>460</v>
      </c>
      <c r="J32" s="1" t="s">
        <v>461</v>
      </c>
      <c r="K32" s="1" t="s">
        <v>462</v>
      </c>
      <c r="L32" s="1"/>
      <c r="M32" s="1" t="s">
        <v>463</v>
      </c>
      <c r="N32" s="1" t="s">
        <v>302</v>
      </c>
      <c r="O32" s="11"/>
      <c r="P32" s="43" t="s">
        <v>132</v>
      </c>
      <c r="Q32" s="10" t="s">
        <v>133</v>
      </c>
      <c r="R32" s="10"/>
      <c r="S32" s="10"/>
      <c r="T32" s="12" t="s">
        <v>116</v>
      </c>
    </row>
    <row r="33" spans="2:20" hidden="1" x14ac:dyDescent="0.35">
      <c r="B33" s="1" t="s">
        <v>313</v>
      </c>
      <c r="C33" s="1" t="s">
        <v>299</v>
      </c>
      <c r="D33" s="1" t="s">
        <v>459</v>
      </c>
      <c r="E33" s="1"/>
      <c r="F33" s="1"/>
      <c r="G33" s="1"/>
      <c r="H33" s="1" t="s">
        <v>460</v>
      </c>
      <c r="I33" s="1" t="s">
        <v>460</v>
      </c>
      <c r="J33" s="1" t="s">
        <v>461</v>
      </c>
      <c r="K33" s="1" t="s">
        <v>462</v>
      </c>
      <c r="L33" s="1"/>
      <c r="M33" s="1" t="s">
        <v>463</v>
      </c>
      <c r="N33" s="1" t="s">
        <v>14</v>
      </c>
      <c r="O33" s="11"/>
      <c r="P33" s="43" t="s">
        <v>132</v>
      </c>
      <c r="Q33" s="10" t="s">
        <v>133</v>
      </c>
      <c r="R33" s="10"/>
      <c r="S33" s="10"/>
      <c r="T33" s="12" t="s">
        <v>116</v>
      </c>
    </row>
    <row r="34" spans="2:20" hidden="1" x14ac:dyDescent="0.35">
      <c r="B34" s="1" t="s">
        <v>314</v>
      </c>
      <c r="C34" s="1" t="s">
        <v>299</v>
      </c>
      <c r="D34" s="1" t="s">
        <v>459</v>
      </c>
      <c r="E34" s="1"/>
      <c r="F34" s="1"/>
      <c r="G34" s="1"/>
      <c r="H34" s="1" t="s">
        <v>460</v>
      </c>
      <c r="I34" s="1" t="s">
        <v>460</v>
      </c>
      <c r="J34" s="1" t="s">
        <v>461</v>
      </c>
      <c r="K34" s="1" t="s">
        <v>462</v>
      </c>
      <c r="L34" s="1"/>
      <c r="M34" s="1" t="s">
        <v>463</v>
      </c>
      <c r="N34" s="1" t="s">
        <v>16</v>
      </c>
      <c r="O34" s="11"/>
      <c r="P34" s="43" t="s">
        <v>132</v>
      </c>
      <c r="Q34" s="10" t="s">
        <v>133</v>
      </c>
      <c r="R34" s="10"/>
      <c r="S34" s="10"/>
      <c r="T34" s="12" t="s">
        <v>116</v>
      </c>
    </row>
    <row r="35" spans="2:20" hidden="1" x14ac:dyDescent="0.35">
      <c r="B35" s="1" t="s">
        <v>315</v>
      </c>
      <c r="C35" s="1" t="s">
        <v>299</v>
      </c>
      <c r="D35" s="1" t="s">
        <v>459</v>
      </c>
      <c r="E35" s="1"/>
      <c r="F35" s="1"/>
      <c r="G35" s="1"/>
      <c r="H35" s="1" t="s">
        <v>460</v>
      </c>
      <c r="I35" s="1" t="s">
        <v>460</v>
      </c>
      <c r="J35" s="1" t="s">
        <v>461</v>
      </c>
      <c r="K35" s="1" t="s">
        <v>462</v>
      </c>
      <c r="L35" s="1"/>
      <c r="M35" s="1" t="s">
        <v>463</v>
      </c>
      <c r="N35" s="1" t="s">
        <v>302</v>
      </c>
      <c r="O35" s="11"/>
      <c r="P35" s="43" t="s">
        <v>132</v>
      </c>
      <c r="Q35" s="10" t="s">
        <v>133</v>
      </c>
      <c r="R35" s="10"/>
      <c r="S35" s="10"/>
      <c r="T35" s="12" t="s">
        <v>116</v>
      </c>
    </row>
    <row r="36" spans="2:20" hidden="1" x14ac:dyDescent="0.35">
      <c r="B36" s="1" t="s">
        <v>316</v>
      </c>
      <c r="C36" s="1" t="s">
        <v>299</v>
      </c>
      <c r="D36" s="1" t="s">
        <v>459</v>
      </c>
      <c r="E36" s="1"/>
      <c r="F36" s="1"/>
      <c r="G36" s="1"/>
      <c r="H36" s="1" t="s">
        <v>460</v>
      </c>
      <c r="I36" s="1" t="s">
        <v>460</v>
      </c>
      <c r="J36" s="1" t="s">
        <v>461</v>
      </c>
      <c r="K36" s="1" t="s">
        <v>462</v>
      </c>
      <c r="L36" s="1"/>
      <c r="M36" s="1" t="s">
        <v>463</v>
      </c>
      <c r="N36" s="1" t="s">
        <v>14</v>
      </c>
      <c r="O36" s="11"/>
      <c r="P36" s="43" t="s">
        <v>132</v>
      </c>
      <c r="Q36" s="10" t="s">
        <v>133</v>
      </c>
      <c r="R36" s="10"/>
      <c r="S36" s="10"/>
      <c r="T36" s="12" t="s">
        <v>116</v>
      </c>
    </row>
    <row r="37" spans="2:20" hidden="1" x14ac:dyDescent="0.35">
      <c r="B37" s="1" t="s">
        <v>317</v>
      </c>
      <c r="C37" s="1" t="s">
        <v>299</v>
      </c>
      <c r="D37" s="1" t="s">
        <v>459</v>
      </c>
      <c r="E37" s="1"/>
      <c r="F37" s="1"/>
      <c r="G37" s="1"/>
      <c r="H37" s="1" t="s">
        <v>460</v>
      </c>
      <c r="I37" s="1" t="s">
        <v>460</v>
      </c>
      <c r="J37" s="1" t="s">
        <v>461</v>
      </c>
      <c r="K37" s="1" t="s">
        <v>462</v>
      </c>
      <c r="L37" s="1"/>
      <c r="M37" s="1" t="s">
        <v>463</v>
      </c>
      <c r="N37" s="1" t="s">
        <v>16</v>
      </c>
      <c r="O37" s="11"/>
      <c r="P37" s="43" t="s">
        <v>132</v>
      </c>
      <c r="Q37" s="10" t="s">
        <v>133</v>
      </c>
      <c r="R37" s="10"/>
      <c r="S37" s="10"/>
      <c r="T37" s="12" t="s">
        <v>116</v>
      </c>
    </row>
    <row r="38" spans="2:20" hidden="1" x14ac:dyDescent="0.35">
      <c r="B38" s="1" t="s">
        <v>348</v>
      </c>
      <c r="C38" s="1" t="s">
        <v>349</v>
      </c>
      <c r="D38" s="1" t="s">
        <v>457</v>
      </c>
      <c r="E38" s="1"/>
      <c r="F38" s="1"/>
      <c r="G38" s="1"/>
      <c r="H38" s="1"/>
      <c r="I38" s="1"/>
      <c r="J38" s="1"/>
      <c r="K38" s="1" t="s">
        <v>458</v>
      </c>
      <c r="L38" s="1"/>
      <c r="M38" s="1"/>
      <c r="N38" s="1" t="s">
        <v>10</v>
      </c>
      <c r="O38" s="11" t="s">
        <v>4</v>
      </c>
      <c r="P38" s="10" t="s">
        <v>350</v>
      </c>
      <c r="Q38" s="10" t="s">
        <v>114</v>
      </c>
      <c r="R38" s="10"/>
      <c r="S38" s="10"/>
      <c r="T38" s="12" t="s">
        <v>116</v>
      </c>
    </row>
    <row r="39" spans="2:20" hidden="1" x14ac:dyDescent="0.35">
      <c r="B39" s="1" t="s">
        <v>351</v>
      </c>
      <c r="C39" s="1" t="s">
        <v>349</v>
      </c>
      <c r="D39" s="1" t="s">
        <v>457</v>
      </c>
      <c r="E39" s="1"/>
      <c r="F39" s="1"/>
      <c r="G39" s="1"/>
      <c r="H39" s="1"/>
      <c r="I39" s="1"/>
      <c r="J39" s="1"/>
      <c r="K39" s="1" t="s">
        <v>458</v>
      </c>
      <c r="L39" s="1"/>
      <c r="M39" s="1"/>
      <c r="N39" s="1" t="s">
        <v>352</v>
      </c>
      <c r="O39" s="11" t="s">
        <v>4</v>
      </c>
      <c r="P39" s="10" t="s">
        <v>353</v>
      </c>
      <c r="Q39" s="10" t="s">
        <v>114</v>
      </c>
      <c r="R39" s="10"/>
      <c r="S39" s="10"/>
      <c r="T39" s="12" t="s">
        <v>116</v>
      </c>
    </row>
    <row r="40" spans="2:20" hidden="1" x14ac:dyDescent="0.35">
      <c r="B40" s="1" t="s">
        <v>354</v>
      </c>
      <c r="C40" s="1" t="s">
        <v>349</v>
      </c>
      <c r="D40" s="1" t="s">
        <v>457</v>
      </c>
      <c r="E40" s="1"/>
      <c r="F40" s="1"/>
      <c r="G40" s="1"/>
      <c r="H40" s="1"/>
      <c r="I40" s="1"/>
      <c r="J40" s="1"/>
      <c r="K40" s="1" t="s">
        <v>458</v>
      </c>
      <c r="L40" s="1"/>
      <c r="M40" s="1"/>
      <c r="N40" s="1" t="s">
        <v>16</v>
      </c>
      <c r="O40" s="11" t="s">
        <v>4</v>
      </c>
      <c r="P40" s="10" t="s">
        <v>355</v>
      </c>
      <c r="Q40" s="10" t="s">
        <v>114</v>
      </c>
      <c r="R40" s="10"/>
      <c r="S40" s="10"/>
      <c r="T40" s="12" t="s">
        <v>116</v>
      </c>
    </row>
    <row r="41" spans="2:20" hidden="1" x14ac:dyDescent="0.35">
      <c r="B41" s="1" t="s">
        <v>356</v>
      </c>
      <c r="C41" s="1" t="s">
        <v>349</v>
      </c>
      <c r="D41" s="1" t="s">
        <v>457</v>
      </c>
      <c r="E41" s="1"/>
      <c r="F41" s="1"/>
      <c r="G41" s="1"/>
      <c r="H41" s="1"/>
      <c r="I41" s="1"/>
      <c r="J41" s="1"/>
      <c r="K41" s="1" t="s">
        <v>458</v>
      </c>
      <c r="L41" s="1"/>
      <c r="M41" s="1"/>
      <c r="N41" s="1" t="s">
        <v>279</v>
      </c>
      <c r="O41" s="11"/>
      <c r="P41" s="10" t="s">
        <v>357</v>
      </c>
      <c r="Q41" s="10" t="s">
        <v>114</v>
      </c>
      <c r="R41" s="10"/>
      <c r="S41" s="10"/>
      <c r="T41" s="12" t="s">
        <v>114</v>
      </c>
    </row>
    <row r="42" spans="2:20" hidden="1" x14ac:dyDescent="0.35">
      <c r="B42" s="1" t="s">
        <v>358</v>
      </c>
      <c r="C42" s="1" t="s">
        <v>349</v>
      </c>
      <c r="D42" s="1" t="s">
        <v>457</v>
      </c>
      <c r="E42" s="1"/>
      <c r="F42" s="1"/>
      <c r="G42" s="1"/>
      <c r="H42" s="1"/>
      <c r="I42" s="1"/>
      <c r="J42" s="1"/>
      <c r="K42" s="1" t="s">
        <v>458</v>
      </c>
      <c r="L42" s="1"/>
      <c r="M42" s="1"/>
      <c r="N42" s="1" t="s">
        <v>352</v>
      </c>
      <c r="O42" s="11"/>
      <c r="P42" s="10" t="s">
        <v>359</v>
      </c>
      <c r="Q42" s="10" t="s">
        <v>114</v>
      </c>
      <c r="R42" s="10"/>
      <c r="S42" s="10"/>
      <c r="T42" s="12" t="s">
        <v>114</v>
      </c>
    </row>
    <row r="43" spans="2:20" hidden="1" x14ac:dyDescent="0.35">
      <c r="B43" s="1" t="s">
        <v>360</v>
      </c>
      <c r="C43" s="1" t="s">
        <v>349</v>
      </c>
      <c r="D43" s="1" t="s">
        <v>457</v>
      </c>
      <c r="E43" s="1"/>
      <c r="F43" s="1"/>
      <c r="G43" s="1"/>
      <c r="H43" s="1"/>
      <c r="I43" s="1"/>
      <c r="J43" s="1"/>
      <c r="K43" s="1" t="s">
        <v>458</v>
      </c>
      <c r="L43" s="1"/>
      <c r="M43" s="1"/>
      <c r="N43" s="1" t="s">
        <v>361</v>
      </c>
      <c r="O43" s="11"/>
      <c r="P43" s="10" t="s">
        <v>362</v>
      </c>
      <c r="Q43" s="10" t="s">
        <v>114</v>
      </c>
      <c r="R43" s="10"/>
      <c r="S43" s="10"/>
      <c r="T43" s="12" t="s">
        <v>116</v>
      </c>
    </row>
    <row r="44" spans="2:20" hidden="1" x14ac:dyDescent="0.35">
      <c r="B44" s="1" t="s">
        <v>363</v>
      </c>
      <c r="C44" s="1" t="s">
        <v>349</v>
      </c>
      <c r="D44" s="1" t="s">
        <v>457</v>
      </c>
      <c r="E44" s="1"/>
      <c r="F44" s="1"/>
      <c r="G44" s="1"/>
      <c r="H44" s="1"/>
      <c r="I44" s="1"/>
      <c r="J44" s="1"/>
      <c r="K44" s="1" t="s">
        <v>458</v>
      </c>
      <c r="L44" s="1"/>
      <c r="M44" s="1"/>
      <c r="N44" s="1" t="s">
        <v>33</v>
      </c>
      <c r="O44" s="11"/>
      <c r="P44" s="10" t="s">
        <v>364</v>
      </c>
      <c r="Q44" s="10" t="s">
        <v>114</v>
      </c>
      <c r="R44" s="10"/>
      <c r="S44" s="10"/>
      <c r="T44" s="12" t="s">
        <v>116</v>
      </c>
    </row>
    <row r="45" spans="2:20" hidden="1" x14ac:dyDescent="0.35">
      <c r="B45" s="1" t="s">
        <v>365</v>
      </c>
      <c r="C45" s="1" t="s">
        <v>349</v>
      </c>
      <c r="D45" s="1" t="s">
        <v>457</v>
      </c>
      <c r="E45" s="1"/>
      <c r="F45" s="1"/>
      <c r="G45" s="1"/>
      <c r="H45" s="1"/>
      <c r="I45" s="1"/>
      <c r="J45" s="1"/>
      <c r="K45" s="1" t="s">
        <v>458</v>
      </c>
      <c r="L45" s="1"/>
      <c r="M45" s="1"/>
      <c r="N45" s="1" t="s">
        <v>361</v>
      </c>
      <c r="O45" s="11"/>
      <c r="P45" s="10" t="s">
        <v>366</v>
      </c>
      <c r="Q45" s="10" t="s">
        <v>114</v>
      </c>
      <c r="R45" s="10"/>
      <c r="S45" s="10"/>
      <c r="T45" s="12" t="s">
        <v>116</v>
      </c>
    </row>
    <row r="46" spans="2:20" hidden="1" x14ac:dyDescent="0.35">
      <c r="B46" s="1" t="s">
        <v>367</v>
      </c>
      <c r="C46" s="1" t="s">
        <v>349</v>
      </c>
      <c r="D46" s="1" t="s">
        <v>457</v>
      </c>
      <c r="E46" s="1"/>
      <c r="F46" s="1"/>
      <c r="G46" s="1"/>
      <c r="H46" s="1"/>
      <c r="I46" s="1"/>
      <c r="J46" s="1"/>
      <c r="K46" s="1" t="s">
        <v>458</v>
      </c>
      <c r="L46" s="1"/>
      <c r="M46" s="1"/>
      <c r="N46" s="1" t="s">
        <v>33</v>
      </c>
      <c r="O46" s="11"/>
      <c r="P46" s="10" t="s">
        <v>368</v>
      </c>
      <c r="Q46" s="10" t="s">
        <v>114</v>
      </c>
      <c r="R46" s="10"/>
      <c r="S46" s="10"/>
      <c r="T46" s="12" t="s">
        <v>116</v>
      </c>
    </row>
    <row r="47" spans="2:20" hidden="1" x14ac:dyDescent="0.35">
      <c r="B47" s="1" t="s">
        <v>369</v>
      </c>
      <c r="C47" s="1" t="s">
        <v>349</v>
      </c>
      <c r="D47" s="1" t="s">
        <v>457</v>
      </c>
      <c r="E47" s="1"/>
      <c r="F47" s="1"/>
      <c r="G47" s="1"/>
      <c r="H47" s="1"/>
      <c r="I47" s="1"/>
      <c r="J47" s="1"/>
      <c r="K47" s="1" t="s">
        <v>458</v>
      </c>
      <c r="L47" s="1"/>
      <c r="M47" s="1"/>
      <c r="N47" s="1" t="s">
        <v>33</v>
      </c>
      <c r="O47" s="11"/>
      <c r="P47" s="10" t="s">
        <v>370</v>
      </c>
      <c r="Q47" s="10" t="s">
        <v>114</v>
      </c>
      <c r="R47" s="10"/>
      <c r="S47" s="10"/>
      <c r="T47" s="12" t="s">
        <v>116</v>
      </c>
    </row>
    <row r="48" spans="2:20" hidden="1" x14ac:dyDescent="0.35">
      <c r="B48" s="1" t="s">
        <v>371</v>
      </c>
      <c r="C48" s="1" t="s">
        <v>349</v>
      </c>
      <c r="D48" s="1" t="s">
        <v>459</v>
      </c>
      <c r="E48" s="1"/>
      <c r="F48" s="1"/>
      <c r="G48" s="1"/>
      <c r="H48" s="1" t="s">
        <v>460</v>
      </c>
      <c r="I48" s="1" t="s">
        <v>460</v>
      </c>
      <c r="J48" s="1" t="s">
        <v>461</v>
      </c>
      <c r="K48" s="1" t="s">
        <v>462</v>
      </c>
      <c r="L48" s="1"/>
      <c r="M48" s="1" t="s">
        <v>463</v>
      </c>
      <c r="N48" s="1" t="s">
        <v>16</v>
      </c>
      <c r="O48" s="11"/>
      <c r="P48" s="43" t="s">
        <v>132</v>
      </c>
      <c r="Q48" s="10" t="s">
        <v>133</v>
      </c>
      <c r="R48" s="10"/>
      <c r="S48" s="10"/>
      <c r="T48" s="12" t="s">
        <v>116</v>
      </c>
    </row>
    <row r="49" spans="2:20" hidden="1" x14ac:dyDescent="0.35">
      <c r="B49" s="1" t="s">
        <v>372</v>
      </c>
      <c r="C49" s="1" t="s">
        <v>349</v>
      </c>
      <c r="D49" s="1" t="s">
        <v>459</v>
      </c>
      <c r="E49" s="1"/>
      <c r="F49" s="1"/>
      <c r="G49" s="1"/>
      <c r="H49" s="1" t="s">
        <v>460</v>
      </c>
      <c r="I49" s="1" t="s">
        <v>460</v>
      </c>
      <c r="J49" s="1" t="s">
        <v>461</v>
      </c>
      <c r="K49" s="1" t="s">
        <v>462</v>
      </c>
      <c r="L49" s="1"/>
      <c r="M49" s="1" t="s">
        <v>463</v>
      </c>
      <c r="N49" s="1" t="s">
        <v>10</v>
      </c>
      <c r="O49" s="11"/>
      <c r="P49" s="43" t="s">
        <v>132</v>
      </c>
      <c r="Q49" s="10" t="s">
        <v>133</v>
      </c>
      <c r="R49" s="10"/>
      <c r="S49" s="10"/>
      <c r="T49" s="12" t="s">
        <v>116</v>
      </c>
    </row>
    <row r="50" spans="2:20" hidden="1" x14ac:dyDescent="0.35">
      <c r="B50" s="1" t="s">
        <v>373</v>
      </c>
      <c r="C50" s="1" t="s">
        <v>349</v>
      </c>
      <c r="D50" s="1" t="s">
        <v>459</v>
      </c>
      <c r="E50" s="1"/>
      <c r="F50" s="1"/>
      <c r="G50" s="1"/>
      <c r="H50" s="1" t="s">
        <v>460</v>
      </c>
      <c r="I50" s="1" t="s">
        <v>460</v>
      </c>
      <c r="J50" s="1" t="s">
        <v>461</v>
      </c>
      <c r="K50" s="1" t="s">
        <v>462</v>
      </c>
      <c r="L50" s="1"/>
      <c r="M50" s="1" t="s">
        <v>463</v>
      </c>
      <c r="N50" s="1" t="s">
        <v>352</v>
      </c>
      <c r="O50" s="11"/>
      <c r="P50" s="43" t="s">
        <v>132</v>
      </c>
      <c r="Q50" s="10" t="s">
        <v>133</v>
      </c>
      <c r="R50" s="10"/>
      <c r="S50" s="10"/>
      <c r="T50" s="12" t="s">
        <v>116</v>
      </c>
    </row>
    <row r="51" spans="2:20" hidden="1" x14ac:dyDescent="0.35">
      <c r="B51" s="1" t="s">
        <v>374</v>
      </c>
      <c r="C51" s="1" t="s">
        <v>349</v>
      </c>
      <c r="D51" s="1" t="s">
        <v>459</v>
      </c>
      <c r="E51" s="1"/>
      <c r="F51" s="1"/>
      <c r="G51" s="1"/>
      <c r="H51" s="1" t="s">
        <v>460</v>
      </c>
      <c r="I51" s="1" t="s">
        <v>460</v>
      </c>
      <c r="J51" s="1" t="s">
        <v>461</v>
      </c>
      <c r="K51" s="1" t="s">
        <v>462</v>
      </c>
      <c r="L51" s="1"/>
      <c r="M51" s="1" t="s">
        <v>463</v>
      </c>
      <c r="N51" s="1" t="s">
        <v>10</v>
      </c>
      <c r="O51" s="11"/>
      <c r="P51" s="43" t="s">
        <v>132</v>
      </c>
      <c r="Q51" s="10" t="s">
        <v>133</v>
      </c>
      <c r="R51" s="10"/>
      <c r="S51" s="10"/>
      <c r="T51" s="12" t="s">
        <v>116</v>
      </c>
    </row>
    <row r="52" spans="2:20" hidden="1" x14ac:dyDescent="0.35">
      <c r="B52" s="1" t="s">
        <v>375</v>
      </c>
      <c r="C52" s="1" t="s">
        <v>349</v>
      </c>
      <c r="D52" s="1" t="s">
        <v>459</v>
      </c>
      <c r="E52" s="1"/>
      <c r="F52" s="1"/>
      <c r="G52" s="1"/>
      <c r="H52" s="1" t="s">
        <v>460</v>
      </c>
      <c r="I52" s="1" t="s">
        <v>460</v>
      </c>
      <c r="J52" s="1" t="s">
        <v>461</v>
      </c>
      <c r="K52" s="1" t="s">
        <v>462</v>
      </c>
      <c r="L52" s="1"/>
      <c r="M52" s="1" t="s">
        <v>463</v>
      </c>
      <c r="N52" s="1" t="s">
        <v>352</v>
      </c>
      <c r="O52" s="11"/>
      <c r="P52" s="43" t="s">
        <v>132</v>
      </c>
      <c r="Q52" s="10" t="s">
        <v>133</v>
      </c>
      <c r="R52" s="10"/>
      <c r="S52" s="10"/>
      <c r="T52" s="12" t="s">
        <v>116</v>
      </c>
    </row>
    <row r="53" spans="2:20" hidden="1" x14ac:dyDescent="0.35">
      <c r="B53" s="1" t="s">
        <v>376</v>
      </c>
      <c r="C53" s="1" t="s">
        <v>349</v>
      </c>
      <c r="D53" s="1" t="s">
        <v>459</v>
      </c>
      <c r="E53" s="1"/>
      <c r="F53" s="1"/>
      <c r="G53" s="1"/>
      <c r="H53" s="1" t="s">
        <v>460</v>
      </c>
      <c r="I53" s="1" t="s">
        <v>460</v>
      </c>
      <c r="J53" s="1" t="s">
        <v>461</v>
      </c>
      <c r="K53" s="1" t="s">
        <v>462</v>
      </c>
      <c r="L53" s="1"/>
      <c r="M53" s="1" t="s">
        <v>463</v>
      </c>
      <c r="N53" s="1" t="s">
        <v>16</v>
      </c>
      <c r="O53" s="11"/>
      <c r="P53" s="43" t="s">
        <v>132</v>
      </c>
      <c r="Q53" s="10" t="s">
        <v>133</v>
      </c>
      <c r="R53" s="10"/>
      <c r="S53" s="10"/>
      <c r="T53" s="12" t="s">
        <v>116</v>
      </c>
    </row>
    <row r="54" spans="2:20" hidden="1" x14ac:dyDescent="0.35">
      <c r="B54" s="1" t="s">
        <v>318</v>
      </c>
      <c r="C54" s="1" t="s">
        <v>319</v>
      </c>
      <c r="D54" s="1" t="s">
        <v>457</v>
      </c>
      <c r="E54" s="1"/>
      <c r="F54" s="1"/>
      <c r="G54" s="1"/>
      <c r="H54" s="1"/>
      <c r="I54" s="1"/>
      <c r="J54" s="1"/>
      <c r="K54" s="1" t="s">
        <v>458</v>
      </c>
      <c r="L54" s="1"/>
      <c r="M54" s="1"/>
      <c r="N54" s="1" t="s">
        <v>16</v>
      </c>
      <c r="O54" s="11" t="s">
        <v>4</v>
      </c>
      <c r="P54" s="10" t="s">
        <v>320</v>
      </c>
      <c r="Q54" s="10" t="s">
        <v>114</v>
      </c>
      <c r="R54" s="10"/>
      <c r="S54" s="10"/>
      <c r="T54" s="12" t="s">
        <v>116</v>
      </c>
    </row>
    <row r="55" spans="2:20" hidden="1" x14ac:dyDescent="0.35">
      <c r="B55" s="1" t="s">
        <v>321</v>
      </c>
      <c r="C55" s="1" t="s">
        <v>319</v>
      </c>
      <c r="D55" s="1" t="s">
        <v>457</v>
      </c>
      <c r="E55" s="1"/>
      <c r="F55" s="1"/>
      <c r="G55" s="1"/>
      <c r="H55" s="1"/>
      <c r="I55" s="1"/>
      <c r="J55" s="1"/>
      <c r="K55" s="1" t="s">
        <v>458</v>
      </c>
      <c r="L55" s="1"/>
      <c r="M55" s="1"/>
      <c r="N55" s="1" t="s">
        <v>302</v>
      </c>
      <c r="O55" s="11" t="s">
        <v>4</v>
      </c>
      <c r="P55" s="10" t="s">
        <v>322</v>
      </c>
      <c r="Q55" s="10" t="s">
        <v>114</v>
      </c>
      <c r="R55" s="10"/>
      <c r="S55" s="10"/>
      <c r="T55" s="12" t="s">
        <v>116</v>
      </c>
    </row>
    <row r="56" spans="2:20" hidden="1" x14ac:dyDescent="0.35">
      <c r="B56" s="1" t="s">
        <v>323</v>
      </c>
      <c r="C56" s="1" t="s">
        <v>319</v>
      </c>
      <c r="D56" s="1" t="s">
        <v>457</v>
      </c>
      <c r="E56" s="1"/>
      <c r="F56" s="1"/>
      <c r="G56" s="1"/>
      <c r="H56" s="1"/>
      <c r="I56" s="1"/>
      <c r="J56" s="1"/>
      <c r="K56" s="1" t="s">
        <v>458</v>
      </c>
      <c r="L56" s="1"/>
      <c r="M56" s="1"/>
      <c r="N56" s="1" t="s">
        <v>14</v>
      </c>
      <c r="O56" s="11" t="s">
        <v>4</v>
      </c>
      <c r="P56" s="10" t="s">
        <v>324</v>
      </c>
      <c r="Q56" s="10" t="s">
        <v>114</v>
      </c>
      <c r="R56" s="10"/>
      <c r="S56" s="10"/>
      <c r="T56" s="12" t="s">
        <v>116</v>
      </c>
    </row>
    <row r="57" spans="2:20" hidden="1" x14ac:dyDescent="0.35">
      <c r="B57" s="1" t="s">
        <v>325</v>
      </c>
      <c r="C57" s="1" t="s">
        <v>319</v>
      </c>
      <c r="D57" s="1" t="s">
        <v>459</v>
      </c>
      <c r="E57" s="1"/>
      <c r="F57" s="1"/>
      <c r="G57" s="1"/>
      <c r="H57" s="1" t="s">
        <v>460</v>
      </c>
      <c r="I57" s="1" t="s">
        <v>460</v>
      </c>
      <c r="J57" s="1" t="s">
        <v>461</v>
      </c>
      <c r="K57" s="1" t="s">
        <v>462</v>
      </c>
      <c r="L57" s="1"/>
      <c r="M57" s="1" t="s">
        <v>463</v>
      </c>
      <c r="N57" s="1" t="s">
        <v>16</v>
      </c>
      <c r="O57" s="11"/>
      <c r="P57" s="43" t="s">
        <v>132</v>
      </c>
      <c r="Q57" s="10" t="s">
        <v>133</v>
      </c>
      <c r="R57" s="10"/>
      <c r="S57" s="10"/>
      <c r="T57" s="12" t="s">
        <v>116</v>
      </c>
    </row>
    <row r="58" spans="2:20" hidden="1" x14ac:dyDescent="0.35">
      <c r="B58" s="1" t="s">
        <v>326</v>
      </c>
      <c r="C58" s="1" t="s">
        <v>319</v>
      </c>
      <c r="D58" s="1" t="s">
        <v>459</v>
      </c>
      <c r="E58" s="1"/>
      <c r="F58" s="1"/>
      <c r="G58" s="1"/>
      <c r="H58" s="1" t="s">
        <v>460</v>
      </c>
      <c r="I58" s="1" t="s">
        <v>460</v>
      </c>
      <c r="J58" s="1" t="s">
        <v>461</v>
      </c>
      <c r="K58" s="1" t="s">
        <v>462</v>
      </c>
      <c r="L58" s="1"/>
      <c r="M58" s="1" t="s">
        <v>463</v>
      </c>
      <c r="N58" s="1" t="s">
        <v>302</v>
      </c>
      <c r="O58" s="11"/>
      <c r="P58" s="43" t="s">
        <v>132</v>
      </c>
      <c r="Q58" s="10" t="s">
        <v>133</v>
      </c>
      <c r="R58" s="10"/>
      <c r="S58" s="10"/>
      <c r="T58" s="12" t="s">
        <v>116</v>
      </c>
    </row>
    <row r="59" spans="2:20" hidden="1" x14ac:dyDescent="0.35">
      <c r="B59" s="1" t="s">
        <v>327</v>
      </c>
      <c r="C59" s="1" t="s">
        <v>319</v>
      </c>
      <c r="D59" s="1" t="s">
        <v>459</v>
      </c>
      <c r="E59" s="1"/>
      <c r="F59" s="1"/>
      <c r="G59" s="1"/>
      <c r="H59" s="1" t="s">
        <v>460</v>
      </c>
      <c r="I59" s="1" t="s">
        <v>460</v>
      </c>
      <c r="J59" s="1" t="s">
        <v>461</v>
      </c>
      <c r="K59" s="1" t="s">
        <v>462</v>
      </c>
      <c r="L59" s="1"/>
      <c r="M59" s="1" t="s">
        <v>463</v>
      </c>
      <c r="N59" s="1" t="s">
        <v>14</v>
      </c>
      <c r="O59" s="11"/>
      <c r="P59" s="43" t="s">
        <v>132</v>
      </c>
      <c r="Q59" s="10" t="s">
        <v>133</v>
      </c>
      <c r="R59" s="10"/>
      <c r="S59" s="10"/>
      <c r="T59" s="12" t="s">
        <v>116</v>
      </c>
    </row>
    <row r="60" spans="2:20" hidden="1" x14ac:dyDescent="0.35">
      <c r="B60" s="1" t="s">
        <v>328</v>
      </c>
      <c r="C60" s="1" t="s">
        <v>319</v>
      </c>
      <c r="D60" s="1" t="s">
        <v>457</v>
      </c>
      <c r="E60" s="1"/>
      <c r="F60" s="1"/>
      <c r="G60" s="1"/>
      <c r="H60" s="1"/>
      <c r="I60" s="1"/>
      <c r="J60" s="1"/>
      <c r="K60" s="1" t="s">
        <v>458</v>
      </c>
      <c r="L60" s="1"/>
      <c r="M60" s="1"/>
      <c r="N60" s="1" t="s">
        <v>68</v>
      </c>
      <c r="O60" s="11"/>
      <c r="P60" s="10" t="s">
        <v>329</v>
      </c>
      <c r="Q60" s="10" t="s">
        <v>114</v>
      </c>
      <c r="R60" s="10"/>
      <c r="S60" s="10"/>
      <c r="T60" s="12" t="s">
        <v>114</v>
      </c>
    </row>
    <row r="61" spans="2:20" hidden="1" x14ac:dyDescent="0.35">
      <c r="B61" s="1" t="s">
        <v>330</v>
      </c>
      <c r="C61" s="1" t="s">
        <v>319</v>
      </c>
      <c r="D61" s="1" t="s">
        <v>457</v>
      </c>
      <c r="E61" s="1"/>
      <c r="F61" s="1"/>
      <c r="G61" s="1"/>
      <c r="H61" s="1"/>
      <c r="I61" s="1"/>
      <c r="J61" s="1"/>
      <c r="K61" s="1" t="s">
        <v>458</v>
      </c>
      <c r="L61" s="1"/>
      <c r="M61" s="1"/>
      <c r="N61" s="1" t="s">
        <v>279</v>
      </c>
      <c r="O61" s="11"/>
      <c r="P61" s="10" t="s">
        <v>331</v>
      </c>
      <c r="Q61" s="10" t="s">
        <v>114</v>
      </c>
      <c r="R61" s="10"/>
      <c r="S61" s="10"/>
      <c r="T61" s="12" t="s">
        <v>114</v>
      </c>
    </row>
    <row r="62" spans="2:20" hidden="1" x14ac:dyDescent="0.35">
      <c r="B62" s="1" t="s">
        <v>332</v>
      </c>
      <c r="C62" s="1" t="s">
        <v>319</v>
      </c>
      <c r="D62" s="1" t="s">
        <v>459</v>
      </c>
      <c r="E62" s="1"/>
      <c r="F62" s="1"/>
      <c r="G62" s="1"/>
      <c r="H62" s="1" t="s">
        <v>460</v>
      </c>
      <c r="I62" s="1" t="s">
        <v>460</v>
      </c>
      <c r="J62" s="1" t="s">
        <v>461</v>
      </c>
      <c r="K62" s="1" t="s">
        <v>462</v>
      </c>
      <c r="L62" s="1"/>
      <c r="M62" s="1" t="s">
        <v>463</v>
      </c>
      <c r="N62" s="1" t="s">
        <v>302</v>
      </c>
      <c r="O62" s="11"/>
      <c r="P62" s="43" t="s">
        <v>132</v>
      </c>
      <c r="Q62" s="10" t="s">
        <v>133</v>
      </c>
      <c r="R62" s="15"/>
      <c r="S62" s="15"/>
      <c r="T62" s="12" t="s">
        <v>116</v>
      </c>
    </row>
    <row r="63" spans="2:20" hidden="1" x14ac:dyDescent="0.35">
      <c r="B63" s="1" t="s">
        <v>333</v>
      </c>
      <c r="C63" s="1" t="s">
        <v>319</v>
      </c>
      <c r="D63" s="1" t="s">
        <v>459</v>
      </c>
      <c r="E63" s="1"/>
      <c r="F63" s="1"/>
      <c r="G63" s="1"/>
      <c r="H63" s="1" t="s">
        <v>460</v>
      </c>
      <c r="I63" s="1" t="s">
        <v>460</v>
      </c>
      <c r="J63" s="1" t="s">
        <v>461</v>
      </c>
      <c r="K63" s="1" t="s">
        <v>462</v>
      </c>
      <c r="L63" s="1"/>
      <c r="M63" s="1" t="s">
        <v>463</v>
      </c>
      <c r="N63" s="1" t="s">
        <v>14</v>
      </c>
      <c r="O63" s="11"/>
      <c r="P63" s="43" t="s">
        <v>132</v>
      </c>
      <c r="Q63" s="10" t="s">
        <v>133</v>
      </c>
      <c r="R63" s="10"/>
      <c r="S63" s="10"/>
      <c r="T63" s="12" t="s">
        <v>116</v>
      </c>
    </row>
    <row r="64" spans="2:20" hidden="1" x14ac:dyDescent="0.35">
      <c r="B64" s="1" t="s">
        <v>334</v>
      </c>
      <c r="C64" s="1" t="s">
        <v>319</v>
      </c>
      <c r="D64" s="1" t="s">
        <v>459</v>
      </c>
      <c r="E64" s="1"/>
      <c r="F64" s="1"/>
      <c r="G64" s="1"/>
      <c r="H64" s="1" t="s">
        <v>460</v>
      </c>
      <c r="I64" s="1" t="s">
        <v>460</v>
      </c>
      <c r="J64" s="1" t="s">
        <v>461</v>
      </c>
      <c r="K64" s="1" t="s">
        <v>462</v>
      </c>
      <c r="L64" s="1"/>
      <c r="M64" s="1" t="s">
        <v>463</v>
      </c>
      <c r="N64" s="1" t="s">
        <v>16</v>
      </c>
      <c r="O64" s="11"/>
      <c r="P64" s="43" t="s">
        <v>132</v>
      </c>
      <c r="Q64" s="10" t="s">
        <v>133</v>
      </c>
      <c r="R64" s="10"/>
      <c r="S64" s="10"/>
      <c r="T64" s="12" t="s">
        <v>116</v>
      </c>
    </row>
    <row r="65" spans="2:20" hidden="1" x14ac:dyDescent="0.35">
      <c r="B65" s="1" t="s">
        <v>318</v>
      </c>
      <c r="C65" s="1" t="s">
        <v>335</v>
      </c>
      <c r="D65" s="1" t="s">
        <v>457</v>
      </c>
      <c r="E65" s="1"/>
      <c r="F65" s="1"/>
      <c r="G65" s="1"/>
      <c r="H65" s="1"/>
      <c r="I65" s="1"/>
      <c r="J65" s="1"/>
      <c r="K65" s="1" t="s">
        <v>458</v>
      </c>
      <c r="L65" s="1"/>
      <c r="M65" s="1"/>
      <c r="N65" s="1" t="s">
        <v>16</v>
      </c>
      <c r="O65" s="11" t="s">
        <v>4</v>
      </c>
      <c r="P65" s="10" t="s">
        <v>320</v>
      </c>
      <c r="Q65" s="10" t="s">
        <v>114</v>
      </c>
      <c r="R65" s="10"/>
      <c r="S65" s="10"/>
      <c r="T65" s="12" t="s">
        <v>116</v>
      </c>
    </row>
    <row r="66" spans="2:20" hidden="1" x14ac:dyDescent="0.35">
      <c r="B66" s="1" t="s">
        <v>321</v>
      </c>
      <c r="C66" s="1" t="s">
        <v>335</v>
      </c>
      <c r="D66" s="1" t="s">
        <v>457</v>
      </c>
      <c r="E66" s="1"/>
      <c r="F66" s="1"/>
      <c r="G66" s="1"/>
      <c r="H66" s="1"/>
      <c r="I66" s="1"/>
      <c r="J66" s="1"/>
      <c r="K66" s="1" t="s">
        <v>458</v>
      </c>
      <c r="L66" s="1"/>
      <c r="M66" s="1"/>
      <c r="N66" s="1" t="s">
        <v>302</v>
      </c>
      <c r="O66" s="11" t="s">
        <v>4</v>
      </c>
      <c r="P66" s="10" t="s">
        <v>322</v>
      </c>
      <c r="Q66" s="10" t="s">
        <v>114</v>
      </c>
      <c r="R66" s="10"/>
      <c r="S66" s="10"/>
      <c r="T66" s="12" t="s">
        <v>116</v>
      </c>
    </row>
    <row r="67" spans="2:20" hidden="1" x14ac:dyDescent="0.35">
      <c r="B67" s="1" t="s">
        <v>323</v>
      </c>
      <c r="C67" s="1" t="s">
        <v>335</v>
      </c>
      <c r="D67" s="1" t="s">
        <v>457</v>
      </c>
      <c r="E67" s="1"/>
      <c r="F67" s="1"/>
      <c r="G67" s="1"/>
      <c r="H67" s="1"/>
      <c r="I67" s="1"/>
      <c r="J67" s="1"/>
      <c r="K67" s="1" t="s">
        <v>458</v>
      </c>
      <c r="L67" s="1"/>
      <c r="M67" s="1"/>
      <c r="N67" s="1" t="s">
        <v>14</v>
      </c>
      <c r="O67" s="11" t="s">
        <v>4</v>
      </c>
      <c r="P67" s="10" t="s">
        <v>324</v>
      </c>
      <c r="Q67" s="10" t="s">
        <v>114</v>
      </c>
      <c r="R67" s="10"/>
      <c r="S67" s="10"/>
      <c r="T67" s="12" t="s">
        <v>116</v>
      </c>
    </row>
    <row r="68" spans="2:20" hidden="1" x14ac:dyDescent="0.35">
      <c r="B68" s="1" t="s">
        <v>336</v>
      </c>
      <c r="C68" s="1" t="s">
        <v>335</v>
      </c>
      <c r="D68" s="1" t="s">
        <v>457</v>
      </c>
      <c r="E68" s="1"/>
      <c r="F68" s="1"/>
      <c r="G68" s="1"/>
      <c r="H68" s="1"/>
      <c r="I68" s="1"/>
      <c r="J68" s="1"/>
      <c r="K68" s="1" t="s">
        <v>458</v>
      </c>
      <c r="L68" s="1"/>
      <c r="M68" s="1"/>
      <c r="N68" s="1" t="s">
        <v>33</v>
      </c>
      <c r="O68" s="11" t="s">
        <v>4</v>
      </c>
      <c r="P68" s="10" t="s">
        <v>337</v>
      </c>
      <c r="Q68" s="10" t="s">
        <v>114</v>
      </c>
      <c r="R68" s="10"/>
      <c r="S68" s="10"/>
      <c r="T68" s="12" t="s">
        <v>116</v>
      </c>
    </row>
    <row r="69" spans="2:20" hidden="1" x14ac:dyDescent="0.35">
      <c r="B69" s="1" t="s">
        <v>338</v>
      </c>
      <c r="C69" s="1" t="s">
        <v>335</v>
      </c>
      <c r="D69" s="1" t="s">
        <v>457</v>
      </c>
      <c r="E69" s="1"/>
      <c r="F69" s="1"/>
      <c r="G69" s="1"/>
      <c r="H69" s="1"/>
      <c r="I69" s="1"/>
      <c r="J69" s="1"/>
      <c r="K69" s="1" t="s">
        <v>458</v>
      </c>
      <c r="L69" s="1"/>
      <c r="M69" s="1"/>
      <c r="N69" s="1" t="s">
        <v>339</v>
      </c>
      <c r="O69" s="11" t="s">
        <v>4</v>
      </c>
      <c r="P69" s="10" t="s">
        <v>340</v>
      </c>
      <c r="Q69" s="10" t="s">
        <v>114</v>
      </c>
      <c r="R69" s="10"/>
      <c r="S69" s="10"/>
      <c r="T69" s="12" t="s">
        <v>116</v>
      </c>
    </row>
    <row r="70" spans="2:20" hidden="1" x14ac:dyDescent="0.35">
      <c r="B70" s="1" t="s">
        <v>341</v>
      </c>
      <c r="C70" s="1" t="s">
        <v>335</v>
      </c>
      <c r="D70" s="1" t="s">
        <v>457</v>
      </c>
      <c r="E70" s="1"/>
      <c r="F70" s="1"/>
      <c r="G70" s="1"/>
      <c r="H70" s="1"/>
      <c r="I70" s="1"/>
      <c r="J70" s="1"/>
      <c r="K70" s="1" t="s">
        <v>458</v>
      </c>
      <c r="L70" s="1"/>
      <c r="M70" s="1"/>
      <c r="N70" s="1" t="s">
        <v>342</v>
      </c>
      <c r="O70" s="11"/>
      <c r="P70" s="10" t="s">
        <v>343</v>
      </c>
      <c r="Q70" s="10" t="s">
        <v>114</v>
      </c>
      <c r="R70" s="10"/>
      <c r="S70" s="10"/>
      <c r="T70" s="12" t="s">
        <v>116</v>
      </c>
    </row>
    <row r="71" spans="2:20" hidden="1" x14ac:dyDescent="0.35">
      <c r="B71" s="1" t="s">
        <v>344</v>
      </c>
      <c r="C71" s="1" t="s">
        <v>335</v>
      </c>
      <c r="D71" s="1" t="s">
        <v>457</v>
      </c>
      <c r="E71" s="1"/>
      <c r="F71" s="1"/>
      <c r="G71" s="1"/>
      <c r="H71" s="1"/>
      <c r="I71" s="1"/>
      <c r="J71" s="1"/>
      <c r="K71" s="1" t="s">
        <v>458</v>
      </c>
      <c r="L71" s="1"/>
      <c r="M71" s="1"/>
      <c r="N71" s="1" t="s">
        <v>14</v>
      </c>
      <c r="O71" s="11" t="s">
        <v>4</v>
      </c>
      <c r="P71" s="10" t="s">
        <v>345</v>
      </c>
      <c r="Q71" s="10" t="s">
        <v>114</v>
      </c>
      <c r="R71" s="10"/>
      <c r="S71" s="10"/>
      <c r="T71" s="12" t="s">
        <v>116</v>
      </c>
    </row>
    <row r="72" spans="2:20" hidden="1" x14ac:dyDescent="0.35">
      <c r="B72" s="1" t="s">
        <v>346</v>
      </c>
      <c r="C72" s="1" t="s">
        <v>335</v>
      </c>
      <c r="D72" s="1" t="s">
        <v>457</v>
      </c>
      <c r="E72" s="1"/>
      <c r="F72" s="1"/>
      <c r="G72" s="1"/>
      <c r="H72" s="1"/>
      <c r="I72" s="1"/>
      <c r="J72" s="1"/>
      <c r="K72" s="1" t="s">
        <v>458</v>
      </c>
      <c r="L72" s="1"/>
      <c r="M72" s="1"/>
      <c r="N72" s="1" t="s">
        <v>220</v>
      </c>
      <c r="O72" s="11"/>
      <c r="P72" s="10" t="s">
        <v>347</v>
      </c>
      <c r="Q72" s="10" t="s">
        <v>114</v>
      </c>
      <c r="R72" s="10"/>
      <c r="S72" s="10"/>
      <c r="T72" s="12" t="s">
        <v>116</v>
      </c>
    </row>
    <row r="73" spans="2:20" hidden="1" x14ac:dyDescent="0.35">
      <c r="B73" s="1" t="s">
        <v>112</v>
      </c>
      <c r="C73" s="1" t="s">
        <v>44</v>
      </c>
      <c r="D73" s="13" t="s">
        <v>457</v>
      </c>
      <c r="E73" s="13"/>
      <c r="F73" s="13"/>
      <c r="G73" s="13"/>
      <c r="H73" s="1"/>
      <c r="I73" s="1"/>
      <c r="J73" s="1"/>
      <c r="K73" s="1" t="s">
        <v>458</v>
      </c>
      <c r="L73" s="1"/>
      <c r="M73" s="1"/>
      <c r="N73" s="1" t="s">
        <v>10</v>
      </c>
      <c r="O73" s="11" t="s">
        <v>4</v>
      </c>
      <c r="P73" s="10" t="s">
        <v>113</v>
      </c>
      <c r="Q73" s="10" t="s">
        <v>114</v>
      </c>
      <c r="R73" s="10" t="s">
        <v>115</v>
      </c>
      <c r="S73" s="10" t="s">
        <v>115</v>
      </c>
      <c r="T73" s="12" t="s">
        <v>116</v>
      </c>
    </row>
    <row r="74" spans="2:20" hidden="1" x14ac:dyDescent="0.35">
      <c r="B74" s="1" t="s">
        <v>117</v>
      </c>
      <c r="C74" s="1" t="s">
        <v>44</v>
      </c>
      <c r="D74" s="13" t="s">
        <v>457</v>
      </c>
      <c r="E74" s="13"/>
      <c r="F74" s="13"/>
      <c r="G74" s="13"/>
      <c r="H74" s="1"/>
      <c r="I74" s="1"/>
      <c r="J74" s="1"/>
      <c r="K74" s="1" t="s">
        <v>458</v>
      </c>
      <c r="L74" s="1"/>
      <c r="M74" s="1"/>
      <c r="N74" s="1" t="s">
        <v>14</v>
      </c>
      <c r="O74" s="11" t="s">
        <v>4</v>
      </c>
      <c r="P74" s="10" t="s">
        <v>118</v>
      </c>
      <c r="Q74" s="10" t="s">
        <v>114</v>
      </c>
      <c r="R74" s="10" t="s">
        <v>115</v>
      </c>
      <c r="S74" s="10" t="s">
        <v>115</v>
      </c>
      <c r="T74" s="12" t="s">
        <v>116</v>
      </c>
    </row>
    <row r="75" spans="2:20" hidden="1" x14ac:dyDescent="0.35">
      <c r="B75" s="1" t="s">
        <v>119</v>
      </c>
      <c r="C75" s="1" t="s">
        <v>44</v>
      </c>
      <c r="D75" s="13" t="s">
        <v>457</v>
      </c>
      <c r="E75" s="13"/>
      <c r="F75" s="13"/>
      <c r="G75" s="13"/>
      <c r="H75" s="1"/>
      <c r="I75" s="1"/>
      <c r="J75" s="1"/>
      <c r="K75" s="1" t="s">
        <v>458</v>
      </c>
      <c r="L75" s="1"/>
      <c r="M75" s="1"/>
      <c r="N75" s="1" t="s">
        <v>68</v>
      </c>
      <c r="O75" s="11"/>
      <c r="P75" s="10" t="s">
        <v>120</v>
      </c>
      <c r="Q75" s="10" t="s">
        <v>114</v>
      </c>
      <c r="R75" s="10" t="s">
        <v>115</v>
      </c>
      <c r="S75" s="10" t="s">
        <v>115</v>
      </c>
      <c r="T75" s="12" t="s">
        <v>114</v>
      </c>
    </row>
    <row r="76" spans="2:20" hidden="1" x14ac:dyDescent="0.35">
      <c r="B76" s="1" t="s">
        <v>121</v>
      </c>
      <c r="C76" s="1" t="s">
        <v>44</v>
      </c>
      <c r="D76" s="13" t="s">
        <v>457</v>
      </c>
      <c r="E76" s="13"/>
      <c r="F76" s="13"/>
      <c r="G76" s="13"/>
      <c r="H76" s="1"/>
      <c r="I76" s="1"/>
      <c r="J76" s="1"/>
      <c r="K76" s="1" t="s">
        <v>458</v>
      </c>
      <c r="L76" s="1"/>
      <c r="M76" s="1"/>
      <c r="N76" s="1" t="s">
        <v>16</v>
      </c>
      <c r="O76" s="11" t="s">
        <v>4</v>
      </c>
      <c r="P76" s="10" t="s">
        <v>122</v>
      </c>
      <c r="Q76" s="10" t="s">
        <v>114</v>
      </c>
      <c r="R76" s="10" t="s">
        <v>115</v>
      </c>
      <c r="S76" s="10" t="s">
        <v>115</v>
      </c>
      <c r="T76" s="12" t="s">
        <v>116</v>
      </c>
    </row>
    <row r="77" spans="2:20" hidden="1" x14ac:dyDescent="0.35">
      <c r="B77" s="1" t="s">
        <v>123</v>
      </c>
      <c r="C77" s="1" t="s">
        <v>44</v>
      </c>
      <c r="D77" s="13" t="s">
        <v>457</v>
      </c>
      <c r="E77" s="13"/>
      <c r="F77" s="13"/>
      <c r="G77" s="13"/>
      <c r="H77" s="1"/>
      <c r="I77" s="1"/>
      <c r="J77" s="1"/>
      <c r="K77" s="1" t="s">
        <v>458</v>
      </c>
      <c r="L77" s="1"/>
      <c r="M77" s="1"/>
      <c r="N77" s="1" t="s">
        <v>14</v>
      </c>
      <c r="O77" s="11"/>
      <c r="P77" s="10" t="s">
        <v>124</v>
      </c>
      <c r="Q77" s="10" t="s">
        <v>114</v>
      </c>
      <c r="R77" s="10" t="s">
        <v>115</v>
      </c>
      <c r="S77" s="10" t="s">
        <v>115</v>
      </c>
      <c r="T77" s="12" t="s">
        <v>114</v>
      </c>
    </row>
    <row r="78" spans="2:20" hidden="1" x14ac:dyDescent="0.35">
      <c r="B78" s="1" t="s">
        <v>125</v>
      </c>
      <c r="C78" s="1" t="s">
        <v>44</v>
      </c>
      <c r="D78" s="13" t="s">
        <v>457</v>
      </c>
      <c r="E78" s="13"/>
      <c r="F78" s="13"/>
      <c r="G78" s="13"/>
      <c r="H78" s="1"/>
      <c r="I78" s="1"/>
      <c r="J78" s="1"/>
      <c r="K78" s="1" t="s">
        <v>458</v>
      </c>
      <c r="L78" s="1"/>
      <c r="M78" s="1"/>
      <c r="N78" s="1" t="s">
        <v>14</v>
      </c>
      <c r="O78" s="11"/>
      <c r="P78" s="10" t="s">
        <v>126</v>
      </c>
      <c r="Q78" s="10" t="s">
        <v>114</v>
      </c>
      <c r="R78" s="10" t="s">
        <v>115</v>
      </c>
      <c r="S78" s="10" t="s">
        <v>115</v>
      </c>
      <c r="T78" s="12" t="s">
        <v>114</v>
      </c>
    </row>
    <row r="79" spans="2:20" x14ac:dyDescent="0.35">
      <c r="B79" s="1" t="s">
        <v>127</v>
      </c>
      <c r="C79" s="1" t="s">
        <v>44</v>
      </c>
      <c r="D79" s="13" t="s">
        <v>459</v>
      </c>
      <c r="E79" s="13" t="s">
        <v>457</v>
      </c>
      <c r="F79" s="13" t="s">
        <v>457</v>
      </c>
      <c r="G79" s="1" t="s">
        <v>464</v>
      </c>
      <c r="H79" s="1" t="s">
        <v>465</v>
      </c>
      <c r="I79" s="1" t="s">
        <v>127</v>
      </c>
      <c r="J79" s="1"/>
      <c r="K79" s="1" t="s">
        <v>458</v>
      </c>
      <c r="L79" s="1" t="s">
        <v>457</v>
      </c>
      <c r="M79" s="21" t="s">
        <v>466</v>
      </c>
      <c r="N79" s="1" t="s">
        <v>68</v>
      </c>
      <c r="O79" s="11"/>
      <c r="P79" s="10" t="s">
        <v>128</v>
      </c>
      <c r="Q79" s="10" t="s">
        <v>114</v>
      </c>
      <c r="R79" s="10" t="s">
        <v>115</v>
      </c>
      <c r="S79" s="10" t="s">
        <v>115</v>
      </c>
      <c r="T79" s="12" t="s">
        <v>114</v>
      </c>
    </row>
    <row r="80" spans="2:20" x14ac:dyDescent="0.35">
      <c r="B80" s="1" t="s">
        <v>129</v>
      </c>
      <c r="C80" s="1" t="s">
        <v>44</v>
      </c>
      <c r="D80" s="1" t="s">
        <v>459</v>
      </c>
      <c r="E80" s="1" t="s">
        <v>457</v>
      </c>
      <c r="F80" s="1" t="s">
        <v>457</v>
      </c>
      <c r="G80" s="1" t="s">
        <v>464</v>
      </c>
      <c r="H80" s="1" t="s">
        <v>465</v>
      </c>
      <c r="I80" s="1" t="s">
        <v>127</v>
      </c>
      <c r="J80" s="1"/>
      <c r="K80" s="1" t="s">
        <v>458</v>
      </c>
      <c r="L80" s="1" t="s">
        <v>457</v>
      </c>
      <c r="M80" s="21" t="s">
        <v>467</v>
      </c>
      <c r="N80" s="1" t="s">
        <v>68</v>
      </c>
      <c r="O80" s="11"/>
      <c r="P80" s="10" t="s">
        <v>130</v>
      </c>
      <c r="Q80" s="10" t="s">
        <v>114</v>
      </c>
      <c r="R80" s="10" t="s">
        <v>115</v>
      </c>
      <c r="S80" s="10" t="s">
        <v>115</v>
      </c>
      <c r="T80" s="12" t="s">
        <v>114</v>
      </c>
    </row>
    <row r="81" spans="1:20" x14ac:dyDescent="0.35">
      <c r="B81" s="1" t="s">
        <v>131</v>
      </c>
      <c r="C81" s="1" t="s">
        <v>44</v>
      </c>
      <c r="D81" s="1" t="s">
        <v>459</v>
      </c>
      <c r="E81" s="1"/>
      <c r="F81" s="1"/>
      <c r="G81" s="1"/>
      <c r="H81" s="1" t="s">
        <v>460</v>
      </c>
      <c r="I81" s="1" t="s">
        <v>460</v>
      </c>
      <c r="J81" s="1" t="s">
        <v>461</v>
      </c>
      <c r="K81" s="1" t="s">
        <v>462</v>
      </c>
      <c r="L81" s="1"/>
      <c r="M81" s="1" t="s">
        <v>463</v>
      </c>
      <c r="N81" s="1" t="s">
        <v>10</v>
      </c>
      <c r="O81" s="11"/>
      <c r="P81" s="43" t="s">
        <v>132</v>
      </c>
      <c r="Q81" s="10" t="s">
        <v>133</v>
      </c>
      <c r="R81" s="10" t="s">
        <v>115</v>
      </c>
      <c r="S81" s="10" t="s">
        <v>115</v>
      </c>
      <c r="T81" s="12" t="s">
        <v>116</v>
      </c>
    </row>
    <row r="82" spans="1:20" x14ac:dyDescent="0.35">
      <c r="B82" s="1" t="s">
        <v>134</v>
      </c>
      <c r="C82" s="1" t="s">
        <v>44</v>
      </c>
      <c r="D82" s="1" t="s">
        <v>459</v>
      </c>
      <c r="E82" s="1"/>
      <c r="F82" s="1"/>
      <c r="G82" s="1"/>
      <c r="H82" s="1" t="s">
        <v>460</v>
      </c>
      <c r="I82" s="1" t="s">
        <v>460</v>
      </c>
      <c r="J82" s="1" t="s">
        <v>461</v>
      </c>
      <c r="K82" s="1" t="s">
        <v>462</v>
      </c>
      <c r="L82" s="1"/>
      <c r="M82" s="1" t="s">
        <v>463</v>
      </c>
      <c r="N82" s="1" t="s">
        <v>14</v>
      </c>
      <c r="O82" s="11"/>
      <c r="P82" s="43" t="s">
        <v>132</v>
      </c>
      <c r="Q82" s="10" t="s">
        <v>133</v>
      </c>
      <c r="R82" s="10" t="s">
        <v>115</v>
      </c>
      <c r="S82" s="10" t="s">
        <v>115</v>
      </c>
      <c r="T82" s="12" t="s">
        <v>116</v>
      </c>
    </row>
    <row r="83" spans="1:20" x14ac:dyDescent="0.35">
      <c r="B83" s="1" t="s">
        <v>135</v>
      </c>
      <c r="C83" s="1" t="s">
        <v>44</v>
      </c>
      <c r="D83" s="1" t="s">
        <v>459</v>
      </c>
      <c r="E83" s="1"/>
      <c r="F83" s="1"/>
      <c r="G83" s="1"/>
      <c r="H83" s="1" t="s">
        <v>460</v>
      </c>
      <c r="I83" s="1" t="s">
        <v>460</v>
      </c>
      <c r="J83" s="1" t="s">
        <v>461</v>
      </c>
      <c r="K83" s="1" t="s">
        <v>462</v>
      </c>
      <c r="L83" s="1"/>
      <c r="M83" s="1" t="s">
        <v>463</v>
      </c>
      <c r="N83" s="1" t="s">
        <v>16</v>
      </c>
      <c r="O83" s="11"/>
      <c r="P83" s="43" t="s">
        <v>132</v>
      </c>
      <c r="Q83" s="10" t="s">
        <v>133</v>
      </c>
      <c r="R83" s="10" t="s">
        <v>115</v>
      </c>
      <c r="S83" s="10" t="s">
        <v>115</v>
      </c>
      <c r="T83" s="12" t="s">
        <v>116</v>
      </c>
    </row>
    <row r="84" spans="1:20" x14ac:dyDescent="0.35">
      <c r="B84" s="1" t="s">
        <v>136</v>
      </c>
      <c r="C84" s="1" t="s">
        <v>44</v>
      </c>
      <c r="D84" s="1" t="s">
        <v>459</v>
      </c>
      <c r="E84" s="1"/>
      <c r="F84" s="1"/>
      <c r="G84" s="1"/>
      <c r="H84" s="1" t="s">
        <v>460</v>
      </c>
      <c r="I84" s="1" t="s">
        <v>460</v>
      </c>
      <c r="J84" s="1" t="s">
        <v>461</v>
      </c>
      <c r="K84" s="1" t="s">
        <v>462</v>
      </c>
      <c r="L84" s="1"/>
      <c r="M84" s="1" t="s">
        <v>463</v>
      </c>
      <c r="N84" s="1" t="s">
        <v>65</v>
      </c>
      <c r="O84" s="11"/>
      <c r="P84" s="43" t="s">
        <v>132</v>
      </c>
      <c r="Q84" s="10" t="s">
        <v>133</v>
      </c>
      <c r="R84" s="10" t="s">
        <v>115</v>
      </c>
      <c r="S84" s="10" t="s">
        <v>115</v>
      </c>
      <c r="T84" s="12" t="s">
        <v>116</v>
      </c>
    </row>
    <row r="85" spans="1:20" x14ac:dyDescent="0.35">
      <c r="B85" s="1" t="s">
        <v>137</v>
      </c>
      <c r="C85" s="1" t="s">
        <v>44</v>
      </c>
      <c r="D85" s="1" t="s">
        <v>459</v>
      </c>
      <c r="E85" s="1"/>
      <c r="F85" s="1"/>
      <c r="G85" s="1"/>
      <c r="H85" s="1" t="s">
        <v>460</v>
      </c>
      <c r="I85" s="1" t="s">
        <v>460</v>
      </c>
      <c r="J85" s="1" t="s">
        <v>461</v>
      </c>
      <c r="K85" s="1" t="s">
        <v>462</v>
      </c>
      <c r="L85" s="1"/>
      <c r="M85" s="1" t="s">
        <v>463</v>
      </c>
      <c r="N85" s="1" t="s">
        <v>27</v>
      </c>
      <c r="O85" s="11"/>
      <c r="P85" s="43" t="s">
        <v>132</v>
      </c>
      <c r="Q85" s="10" t="s">
        <v>133</v>
      </c>
      <c r="R85" s="10" t="s">
        <v>115</v>
      </c>
      <c r="S85" s="10" t="s">
        <v>115</v>
      </c>
      <c r="T85" s="12" t="s">
        <v>116</v>
      </c>
    </row>
    <row r="86" spans="1:20" hidden="1" x14ac:dyDescent="0.35">
      <c r="B86" s="1" t="s">
        <v>138</v>
      </c>
      <c r="C86" s="1" t="s">
        <v>44</v>
      </c>
      <c r="D86" s="1" t="s">
        <v>457</v>
      </c>
      <c r="E86" s="1"/>
      <c r="F86" s="1"/>
      <c r="G86" s="1"/>
      <c r="H86" s="1"/>
      <c r="I86" s="1"/>
      <c r="J86" s="1"/>
      <c r="K86" s="1" t="s">
        <v>458</v>
      </c>
      <c r="L86" s="1"/>
      <c r="M86" s="1"/>
      <c r="N86" s="1" t="s">
        <v>68</v>
      </c>
      <c r="O86" s="11"/>
      <c r="P86" s="10" t="s">
        <v>139</v>
      </c>
      <c r="Q86" s="10" t="s">
        <v>114</v>
      </c>
      <c r="R86" s="10" t="s">
        <v>115</v>
      </c>
      <c r="S86" s="10" t="s">
        <v>115</v>
      </c>
      <c r="T86" s="12" t="s">
        <v>114</v>
      </c>
    </row>
    <row r="87" spans="1:20" x14ac:dyDescent="0.35">
      <c r="B87" s="1" t="s">
        <v>140</v>
      </c>
      <c r="C87" s="1" t="s">
        <v>44</v>
      </c>
      <c r="D87" s="1" t="s">
        <v>459</v>
      </c>
      <c r="E87" s="1"/>
      <c r="F87" s="1"/>
      <c r="G87" s="1"/>
      <c r="H87" s="1" t="s">
        <v>460</v>
      </c>
      <c r="I87" s="1" t="s">
        <v>460</v>
      </c>
      <c r="J87" s="1" t="s">
        <v>461</v>
      </c>
      <c r="K87" s="1" t="s">
        <v>462</v>
      </c>
      <c r="L87" s="1"/>
      <c r="M87" s="1" t="s">
        <v>463</v>
      </c>
      <c r="N87" s="1" t="s">
        <v>10</v>
      </c>
      <c r="O87" s="11"/>
      <c r="P87" s="43" t="s">
        <v>132</v>
      </c>
      <c r="Q87" s="10" t="s">
        <v>133</v>
      </c>
      <c r="R87" s="10" t="s">
        <v>115</v>
      </c>
      <c r="S87" s="10" t="s">
        <v>115</v>
      </c>
      <c r="T87" s="12" t="s">
        <v>116</v>
      </c>
    </row>
    <row r="88" spans="1:20" x14ac:dyDescent="0.35">
      <c r="B88" s="1" t="s">
        <v>141</v>
      </c>
      <c r="C88" s="1" t="s">
        <v>44</v>
      </c>
      <c r="D88" s="1" t="s">
        <v>459</v>
      </c>
      <c r="E88" s="1"/>
      <c r="F88" s="1"/>
      <c r="G88" s="1"/>
      <c r="H88" s="40" t="s">
        <v>460</v>
      </c>
      <c r="I88" s="1" t="s">
        <v>460</v>
      </c>
      <c r="J88" s="1" t="s">
        <v>461</v>
      </c>
      <c r="K88" s="1" t="s">
        <v>462</v>
      </c>
      <c r="L88" s="1"/>
      <c r="M88" s="1" t="s">
        <v>463</v>
      </c>
      <c r="N88" s="1" t="s">
        <v>14</v>
      </c>
      <c r="O88" s="11"/>
      <c r="P88" s="43" t="s">
        <v>132</v>
      </c>
      <c r="Q88" s="10" t="s">
        <v>133</v>
      </c>
      <c r="R88" s="10" t="s">
        <v>115</v>
      </c>
      <c r="S88" s="10" t="s">
        <v>115</v>
      </c>
      <c r="T88" s="12" t="s">
        <v>116</v>
      </c>
    </row>
    <row r="89" spans="1:20" x14ac:dyDescent="0.35">
      <c r="B89" s="1" t="s">
        <v>142</v>
      </c>
      <c r="C89" s="1" t="s">
        <v>44</v>
      </c>
      <c r="D89" s="1" t="s">
        <v>459</v>
      </c>
      <c r="E89" s="1"/>
      <c r="F89" s="1"/>
      <c r="G89" s="1"/>
      <c r="H89" s="1" t="s">
        <v>460</v>
      </c>
      <c r="I89" s="1" t="s">
        <v>460</v>
      </c>
      <c r="J89" s="1" t="s">
        <v>461</v>
      </c>
      <c r="K89" s="1" t="s">
        <v>462</v>
      </c>
      <c r="L89" s="1"/>
      <c r="M89" s="1" t="s">
        <v>463</v>
      </c>
      <c r="N89" s="1" t="s">
        <v>16</v>
      </c>
      <c r="O89" s="11"/>
      <c r="P89" s="43" t="s">
        <v>132</v>
      </c>
      <c r="Q89" s="10" t="s">
        <v>133</v>
      </c>
      <c r="R89" s="10" t="s">
        <v>115</v>
      </c>
      <c r="S89" s="10" t="s">
        <v>115</v>
      </c>
      <c r="T89" s="12" t="s">
        <v>116</v>
      </c>
    </row>
    <row r="90" spans="1:20" x14ac:dyDescent="0.35">
      <c r="B90" s="1" t="s">
        <v>143</v>
      </c>
      <c r="C90" s="1" t="s">
        <v>44</v>
      </c>
      <c r="D90" s="1" t="s">
        <v>459</v>
      </c>
      <c r="E90" s="1"/>
      <c r="F90" s="1"/>
      <c r="G90" s="1"/>
      <c r="H90" s="1" t="s">
        <v>460</v>
      </c>
      <c r="I90" s="1" t="s">
        <v>460</v>
      </c>
      <c r="J90" s="1" t="s">
        <v>461</v>
      </c>
      <c r="K90" s="1" t="s">
        <v>462</v>
      </c>
      <c r="L90" s="1"/>
      <c r="M90" s="1" t="s">
        <v>463</v>
      </c>
      <c r="N90" s="1" t="s">
        <v>144</v>
      </c>
      <c r="O90" s="11"/>
      <c r="P90" s="43" t="s">
        <v>132</v>
      </c>
      <c r="Q90" s="10" t="s">
        <v>133</v>
      </c>
      <c r="R90" s="10" t="s">
        <v>115</v>
      </c>
      <c r="S90" s="10" t="s">
        <v>115</v>
      </c>
      <c r="T90" s="12" t="s">
        <v>116</v>
      </c>
    </row>
    <row r="91" spans="1:20" ht="37" customHeight="1" x14ac:dyDescent="0.35">
      <c r="B91" s="33" t="s">
        <v>145</v>
      </c>
      <c r="C91" s="1" t="s">
        <v>44</v>
      </c>
      <c r="D91" s="1" t="s">
        <v>459</v>
      </c>
      <c r="E91" s="1" t="s">
        <v>457</v>
      </c>
      <c r="F91" s="1" t="s">
        <v>460</v>
      </c>
      <c r="G91" s="1" t="s">
        <v>460</v>
      </c>
      <c r="H91" s="1" t="s">
        <v>460</v>
      </c>
      <c r="I91" s="1" t="s">
        <v>460</v>
      </c>
      <c r="J91" s="1" t="s">
        <v>468</v>
      </c>
      <c r="K91" s="1" t="s">
        <v>462</v>
      </c>
      <c r="L91" s="1" t="s">
        <v>457</v>
      </c>
      <c r="M91" s="42" t="s">
        <v>469</v>
      </c>
      <c r="N91" s="1" t="s">
        <v>146</v>
      </c>
      <c r="O91" s="11"/>
      <c r="P91" s="43"/>
      <c r="Q91" s="10" t="s">
        <v>114</v>
      </c>
      <c r="R91" s="10" t="s">
        <v>115</v>
      </c>
      <c r="S91" s="10" t="s">
        <v>115</v>
      </c>
      <c r="T91" s="12" t="s">
        <v>116</v>
      </c>
    </row>
    <row r="92" spans="1:20" hidden="1" x14ac:dyDescent="0.35">
      <c r="A92" s="88" t="s">
        <v>42</v>
      </c>
      <c r="B92" s="17" t="s">
        <v>43</v>
      </c>
      <c r="C92" s="1" t="s">
        <v>44</v>
      </c>
      <c r="D92" s="13" t="s">
        <v>457</v>
      </c>
      <c r="E92" s="13" t="s">
        <v>459</v>
      </c>
      <c r="F92" s="13" t="s">
        <v>457</v>
      </c>
      <c r="G92" s="13"/>
      <c r="H92" s="1"/>
      <c r="I92" s="1"/>
      <c r="J92" s="1"/>
      <c r="K92" s="1" t="s">
        <v>458</v>
      </c>
      <c r="L92" s="1" t="s">
        <v>459</v>
      </c>
      <c r="M92" s="21" t="s">
        <v>470</v>
      </c>
      <c r="N92" s="1" t="s">
        <v>27</v>
      </c>
      <c r="O92" s="11"/>
      <c r="P92" s="10"/>
      <c r="Q92" s="10" t="s">
        <v>114</v>
      </c>
      <c r="R92" s="10" t="s">
        <v>179</v>
      </c>
      <c r="S92" s="10" t="s">
        <v>396</v>
      </c>
      <c r="T92" s="12" t="s">
        <v>116</v>
      </c>
    </row>
    <row r="93" spans="1:20" hidden="1" x14ac:dyDescent="0.35">
      <c r="A93" s="88" t="s">
        <v>42</v>
      </c>
      <c r="B93" s="17" t="s">
        <v>47</v>
      </c>
      <c r="C93" s="1" t="s">
        <v>44</v>
      </c>
      <c r="D93" s="13" t="s">
        <v>457</v>
      </c>
      <c r="E93" s="13" t="s">
        <v>459</v>
      </c>
      <c r="F93" s="13" t="s">
        <v>457</v>
      </c>
      <c r="G93" s="13"/>
      <c r="H93" s="1"/>
      <c r="I93" s="1"/>
      <c r="J93" s="1"/>
      <c r="K93" s="1" t="s">
        <v>458</v>
      </c>
      <c r="L93" s="1" t="s">
        <v>459</v>
      </c>
      <c r="M93" s="21" t="s">
        <v>470</v>
      </c>
      <c r="N93" s="1" t="s">
        <v>27</v>
      </c>
      <c r="O93" s="11"/>
      <c r="P93" s="10"/>
      <c r="Q93" s="10" t="s">
        <v>114</v>
      </c>
      <c r="R93" s="10" t="s">
        <v>179</v>
      </c>
      <c r="S93" s="10" t="s">
        <v>397</v>
      </c>
      <c r="T93" s="12" t="s">
        <v>116</v>
      </c>
    </row>
    <row r="94" spans="1:20" hidden="1" x14ac:dyDescent="0.35">
      <c r="A94" s="88" t="s">
        <v>42</v>
      </c>
      <c r="B94" s="17" t="s">
        <v>49</v>
      </c>
      <c r="C94" s="1" t="s">
        <v>44</v>
      </c>
      <c r="D94" s="13" t="s">
        <v>457</v>
      </c>
      <c r="E94" s="13" t="s">
        <v>459</v>
      </c>
      <c r="F94" s="13" t="s">
        <v>457</v>
      </c>
      <c r="G94" s="13"/>
      <c r="H94" s="1"/>
      <c r="I94" s="1"/>
      <c r="J94" s="1"/>
      <c r="K94" s="1" t="s">
        <v>458</v>
      </c>
      <c r="L94" s="1" t="s">
        <v>459</v>
      </c>
      <c r="M94" s="21" t="s">
        <v>470</v>
      </c>
      <c r="N94" s="1" t="s">
        <v>27</v>
      </c>
      <c r="O94" s="11"/>
      <c r="P94" s="10"/>
      <c r="Q94" s="10" t="s">
        <v>114</v>
      </c>
      <c r="R94" s="10" t="s">
        <v>179</v>
      </c>
      <c r="S94" s="10" t="s">
        <v>398</v>
      </c>
      <c r="T94" s="12" t="s">
        <v>116</v>
      </c>
    </row>
    <row r="95" spans="1:20" hidden="1" x14ac:dyDescent="0.35">
      <c r="A95" s="88" t="s">
        <v>42</v>
      </c>
      <c r="B95" s="17" t="s">
        <v>51</v>
      </c>
      <c r="C95" s="1" t="s">
        <v>44</v>
      </c>
      <c r="D95" s="13" t="s">
        <v>457</v>
      </c>
      <c r="E95" s="13" t="s">
        <v>459</v>
      </c>
      <c r="F95" s="13" t="s">
        <v>457</v>
      </c>
      <c r="G95" s="13"/>
      <c r="H95" s="1"/>
      <c r="I95" s="1"/>
      <c r="J95" s="1"/>
      <c r="K95" s="1" t="s">
        <v>458</v>
      </c>
      <c r="L95" s="1" t="s">
        <v>459</v>
      </c>
      <c r="M95" s="21" t="s">
        <v>470</v>
      </c>
      <c r="N95" s="1" t="s">
        <v>27</v>
      </c>
      <c r="O95" s="11"/>
      <c r="P95" s="10"/>
      <c r="Q95" s="10" t="s">
        <v>114</v>
      </c>
      <c r="R95" s="10" t="s">
        <v>179</v>
      </c>
      <c r="S95" s="10" t="s">
        <v>399</v>
      </c>
      <c r="T95" s="12" t="s">
        <v>116</v>
      </c>
    </row>
    <row r="96" spans="1:20" hidden="1" x14ac:dyDescent="0.35">
      <c r="A96" s="88" t="s">
        <v>42</v>
      </c>
      <c r="B96" s="17" t="s">
        <v>53</v>
      </c>
      <c r="C96" s="1" t="s">
        <v>44</v>
      </c>
      <c r="D96" s="13" t="s">
        <v>457</v>
      </c>
      <c r="E96" s="13" t="s">
        <v>459</v>
      </c>
      <c r="F96" s="13" t="s">
        <v>457</v>
      </c>
      <c r="G96" s="13"/>
      <c r="H96" s="1"/>
      <c r="I96" s="1"/>
      <c r="J96" s="1"/>
      <c r="K96" s="1" t="s">
        <v>458</v>
      </c>
      <c r="L96" s="1" t="s">
        <v>459</v>
      </c>
      <c r="M96" s="21" t="s">
        <v>470</v>
      </c>
      <c r="N96" s="1" t="s">
        <v>27</v>
      </c>
      <c r="O96" s="11"/>
      <c r="P96" s="10"/>
      <c r="Q96" s="10" t="s">
        <v>114</v>
      </c>
      <c r="R96" s="10" t="s">
        <v>179</v>
      </c>
      <c r="S96" s="10" t="s">
        <v>400</v>
      </c>
      <c r="T96" s="12" t="s">
        <v>116</v>
      </c>
    </row>
    <row r="97" spans="1:20" hidden="1" x14ac:dyDescent="0.35">
      <c r="A97" s="88" t="s">
        <v>42</v>
      </c>
      <c r="B97" s="17" t="s">
        <v>55</v>
      </c>
      <c r="C97" s="1" t="s">
        <v>44</v>
      </c>
      <c r="D97" s="13" t="s">
        <v>457</v>
      </c>
      <c r="E97" s="13" t="s">
        <v>459</v>
      </c>
      <c r="F97" s="13" t="s">
        <v>457</v>
      </c>
      <c r="G97" s="13"/>
      <c r="H97" s="1"/>
      <c r="I97" s="1"/>
      <c r="J97" s="1"/>
      <c r="K97" s="1" t="s">
        <v>458</v>
      </c>
      <c r="L97" s="1" t="s">
        <v>459</v>
      </c>
      <c r="M97" s="21" t="s">
        <v>470</v>
      </c>
      <c r="N97" s="1" t="s">
        <v>27</v>
      </c>
      <c r="O97" s="11"/>
      <c r="P97" s="10"/>
      <c r="Q97" s="10" t="s">
        <v>114</v>
      </c>
      <c r="R97" s="10" t="s">
        <v>179</v>
      </c>
      <c r="S97" s="10" t="s">
        <v>401</v>
      </c>
      <c r="T97" s="12" t="s">
        <v>116</v>
      </c>
    </row>
    <row r="98" spans="1:20" x14ac:dyDescent="0.35">
      <c r="A98" s="88" t="s">
        <v>42</v>
      </c>
      <c r="B98" s="17" t="s">
        <v>57</v>
      </c>
      <c r="C98" s="1" t="s">
        <v>44</v>
      </c>
      <c r="D98" s="13" t="s">
        <v>459</v>
      </c>
      <c r="E98" s="13" t="s">
        <v>459</v>
      </c>
      <c r="F98" s="13" t="s">
        <v>457</v>
      </c>
      <c r="G98" s="13"/>
      <c r="H98" s="1"/>
      <c r="I98" s="1"/>
      <c r="J98" s="1"/>
      <c r="K98" s="1" t="s">
        <v>458</v>
      </c>
      <c r="L98" s="1" t="s">
        <v>459</v>
      </c>
      <c r="M98" s="21" t="s">
        <v>471</v>
      </c>
      <c r="N98" s="1" t="s">
        <v>27</v>
      </c>
      <c r="O98" s="11"/>
      <c r="P98" s="10"/>
      <c r="Q98" s="10" t="s">
        <v>114</v>
      </c>
      <c r="R98" s="10" t="s">
        <v>179</v>
      </c>
      <c r="S98" s="10" t="s">
        <v>402</v>
      </c>
      <c r="T98" s="12" t="s">
        <v>116</v>
      </c>
    </row>
    <row r="99" spans="1:20" x14ac:dyDescent="0.35">
      <c r="A99" s="88" t="s">
        <v>42</v>
      </c>
      <c r="B99" s="17" t="s">
        <v>59</v>
      </c>
      <c r="C99" s="1" t="s">
        <v>44</v>
      </c>
      <c r="D99" s="13" t="s">
        <v>459</v>
      </c>
      <c r="E99" s="13" t="s">
        <v>459</v>
      </c>
      <c r="F99" s="13" t="s">
        <v>457</v>
      </c>
      <c r="G99" s="13"/>
      <c r="H99" s="1"/>
      <c r="I99" s="1"/>
      <c r="J99" s="1"/>
      <c r="K99" s="1" t="s">
        <v>458</v>
      </c>
      <c r="L99" s="1" t="s">
        <v>459</v>
      </c>
      <c r="M99" s="21" t="s">
        <v>471</v>
      </c>
      <c r="N99" s="1" t="s">
        <v>27</v>
      </c>
      <c r="O99" s="11"/>
      <c r="P99" s="10"/>
      <c r="Q99" s="10" t="s">
        <v>114</v>
      </c>
      <c r="R99" s="10" t="s">
        <v>179</v>
      </c>
      <c r="S99" s="10" t="s">
        <v>403</v>
      </c>
      <c r="T99" s="12" t="s">
        <v>116</v>
      </c>
    </row>
    <row r="100" spans="1:20" x14ac:dyDescent="0.35">
      <c r="A100" s="88" t="s">
        <v>42</v>
      </c>
      <c r="B100" s="17" t="s">
        <v>61</v>
      </c>
      <c r="C100" s="1" t="s">
        <v>44</v>
      </c>
      <c r="D100" s="13" t="s">
        <v>459</v>
      </c>
      <c r="E100" s="13" t="s">
        <v>459</v>
      </c>
      <c r="F100" s="13" t="s">
        <v>457</v>
      </c>
      <c r="G100" s="13"/>
      <c r="H100" s="1"/>
      <c r="I100" s="1"/>
      <c r="J100" s="1"/>
      <c r="K100" s="1" t="s">
        <v>458</v>
      </c>
      <c r="L100" s="1" t="s">
        <v>459</v>
      </c>
      <c r="M100" s="21" t="s">
        <v>471</v>
      </c>
      <c r="N100" s="1" t="s">
        <v>27</v>
      </c>
      <c r="O100" s="11"/>
      <c r="P100" s="10"/>
      <c r="Q100" s="10" t="s">
        <v>114</v>
      </c>
      <c r="R100" s="10" t="s">
        <v>179</v>
      </c>
      <c r="S100" s="10" t="s">
        <v>404</v>
      </c>
      <c r="T100" s="12" t="s">
        <v>116</v>
      </c>
    </row>
    <row r="101" spans="1:20" s="82" customFormat="1" x14ac:dyDescent="0.35">
      <c r="B101" s="83" t="s">
        <v>78</v>
      </c>
      <c r="C101" s="83" t="s">
        <v>44</v>
      </c>
      <c r="D101" s="84" t="s">
        <v>459</v>
      </c>
      <c r="E101" s="84" t="s">
        <v>459</v>
      </c>
      <c r="F101" s="84" t="s">
        <v>457</v>
      </c>
      <c r="G101" s="84"/>
      <c r="H101" s="83"/>
      <c r="I101" s="83"/>
      <c r="J101" s="1"/>
      <c r="K101" s="83" t="s">
        <v>458</v>
      </c>
      <c r="L101" s="83" t="s">
        <v>459</v>
      </c>
      <c r="M101" s="86" t="s">
        <v>472</v>
      </c>
      <c r="N101" s="83" t="s">
        <v>27</v>
      </c>
      <c r="O101" s="85"/>
      <c r="P101" s="85"/>
      <c r="Q101" s="85" t="s">
        <v>114</v>
      </c>
      <c r="R101" s="85" t="s">
        <v>179</v>
      </c>
      <c r="S101" s="85" t="s">
        <v>473</v>
      </c>
      <c r="T101" s="85" t="s">
        <v>116</v>
      </c>
    </row>
    <row r="102" spans="1:20" s="82" customFormat="1" x14ac:dyDescent="0.35">
      <c r="B102" s="83" t="s">
        <v>79</v>
      </c>
      <c r="C102" s="83" t="s">
        <v>44</v>
      </c>
      <c r="D102" s="84" t="s">
        <v>459</v>
      </c>
      <c r="E102" s="84" t="s">
        <v>459</v>
      </c>
      <c r="F102" s="84" t="s">
        <v>457</v>
      </c>
      <c r="G102" s="84"/>
      <c r="H102" s="83"/>
      <c r="I102" s="83"/>
      <c r="J102" s="1"/>
      <c r="K102" s="83" t="s">
        <v>458</v>
      </c>
      <c r="L102" s="83" t="s">
        <v>459</v>
      </c>
      <c r="M102" s="86" t="s">
        <v>472</v>
      </c>
      <c r="N102" s="83" t="s">
        <v>27</v>
      </c>
      <c r="O102" s="85"/>
      <c r="P102" s="85"/>
      <c r="Q102" s="85" t="s">
        <v>114</v>
      </c>
      <c r="R102" s="85" t="s">
        <v>179</v>
      </c>
      <c r="S102" s="85" t="s">
        <v>474</v>
      </c>
      <c r="T102" s="85" t="s">
        <v>116</v>
      </c>
    </row>
    <row r="103" spans="1:20" s="82" customFormat="1" x14ac:dyDescent="0.35">
      <c r="B103" s="83" t="s">
        <v>80</v>
      </c>
      <c r="C103" s="83" t="s">
        <v>44</v>
      </c>
      <c r="D103" s="84" t="s">
        <v>459</v>
      </c>
      <c r="E103" s="84" t="s">
        <v>459</v>
      </c>
      <c r="F103" s="84" t="s">
        <v>457</v>
      </c>
      <c r="G103" s="84"/>
      <c r="H103" s="83"/>
      <c r="I103" s="83"/>
      <c r="J103" s="1"/>
      <c r="K103" s="83" t="s">
        <v>458</v>
      </c>
      <c r="L103" s="83" t="s">
        <v>459</v>
      </c>
      <c r="M103" s="86" t="s">
        <v>472</v>
      </c>
      <c r="N103" s="83" t="s">
        <v>27</v>
      </c>
      <c r="O103" s="85"/>
      <c r="P103" s="85"/>
      <c r="Q103" s="85" t="s">
        <v>114</v>
      </c>
      <c r="R103" s="85" t="s">
        <v>179</v>
      </c>
      <c r="S103" s="85" t="s">
        <v>475</v>
      </c>
      <c r="T103" s="85" t="s">
        <v>116</v>
      </c>
    </row>
    <row r="104" spans="1:20" hidden="1" x14ac:dyDescent="0.35">
      <c r="B104" s="1" t="s">
        <v>112</v>
      </c>
      <c r="C104" s="1" t="s">
        <v>147</v>
      </c>
      <c r="D104" s="1" t="s">
        <v>457</v>
      </c>
      <c r="E104" s="1"/>
      <c r="F104" s="1"/>
      <c r="G104" s="1"/>
      <c r="H104" s="1"/>
      <c r="I104" s="1"/>
      <c r="J104" s="1"/>
      <c r="K104" s="1" t="s">
        <v>458</v>
      </c>
      <c r="L104" s="1"/>
      <c r="M104" s="1"/>
      <c r="N104" s="1" t="s">
        <v>10</v>
      </c>
      <c r="O104" s="11" t="s">
        <v>148</v>
      </c>
      <c r="P104" s="10" t="s">
        <v>113</v>
      </c>
      <c r="Q104" s="10" t="s">
        <v>114</v>
      </c>
      <c r="R104" s="10" t="s">
        <v>115</v>
      </c>
      <c r="S104" s="10" t="s">
        <v>115</v>
      </c>
      <c r="T104" s="12" t="s">
        <v>116</v>
      </c>
    </row>
    <row r="105" spans="1:20" hidden="1" x14ac:dyDescent="0.35">
      <c r="B105" s="1" t="s">
        <v>117</v>
      </c>
      <c r="C105" s="1" t="s">
        <v>147</v>
      </c>
      <c r="D105" s="1" t="s">
        <v>457</v>
      </c>
      <c r="E105" s="1"/>
      <c r="F105" s="1"/>
      <c r="G105" s="1"/>
      <c r="H105" s="1"/>
      <c r="I105" s="1"/>
      <c r="J105" s="1"/>
      <c r="K105" s="1" t="s">
        <v>458</v>
      </c>
      <c r="L105" s="1"/>
      <c r="M105" s="1"/>
      <c r="N105" s="1" t="s">
        <v>14</v>
      </c>
      <c r="O105" s="11" t="s">
        <v>148</v>
      </c>
      <c r="P105" s="10" t="s">
        <v>118</v>
      </c>
      <c r="Q105" s="10" t="s">
        <v>114</v>
      </c>
      <c r="R105" s="10" t="s">
        <v>115</v>
      </c>
      <c r="S105" s="10" t="s">
        <v>115</v>
      </c>
      <c r="T105" s="12" t="s">
        <v>116</v>
      </c>
    </row>
    <row r="106" spans="1:20" hidden="1" x14ac:dyDescent="0.35">
      <c r="B106" s="1" t="s">
        <v>149</v>
      </c>
      <c r="C106" s="1" t="s">
        <v>147</v>
      </c>
      <c r="D106" s="1" t="s">
        <v>457</v>
      </c>
      <c r="E106" s="1"/>
      <c r="F106" s="1"/>
      <c r="G106" s="1"/>
      <c r="H106" s="1"/>
      <c r="I106" s="1"/>
      <c r="J106" s="1"/>
      <c r="K106" s="1" t="s">
        <v>458</v>
      </c>
      <c r="L106" s="1"/>
      <c r="M106" s="1"/>
      <c r="N106" s="1" t="s">
        <v>16</v>
      </c>
      <c r="O106" s="11" t="s">
        <v>148</v>
      </c>
      <c r="P106" s="10" t="s">
        <v>150</v>
      </c>
      <c r="Q106" s="10" t="s">
        <v>114</v>
      </c>
      <c r="R106" s="10" t="s">
        <v>115</v>
      </c>
      <c r="S106" s="10" t="s">
        <v>115</v>
      </c>
      <c r="T106" s="12" t="s">
        <v>116</v>
      </c>
    </row>
    <row r="107" spans="1:20" hidden="1" x14ac:dyDescent="0.35">
      <c r="B107" s="1" t="s">
        <v>151</v>
      </c>
      <c r="C107" s="1" t="s">
        <v>147</v>
      </c>
      <c r="D107" s="1" t="s">
        <v>457</v>
      </c>
      <c r="E107" s="1"/>
      <c r="F107" s="1"/>
      <c r="G107" s="1"/>
      <c r="H107" s="1"/>
      <c r="I107" s="1"/>
      <c r="J107" s="1"/>
      <c r="K107" s="1" t="s">
        <v>458</v>
      </c>
      <c r="L107" s="1"/>
      <c r="M107" s="1"/>
      <c r="N107" s="1" t="s">
        <v>33</v>
      </c>
      <c r="O107" s="11"/>
      <c r="P107" s="10" t="s">
        <v>152</v>
      </c>
      <c r="Q107" s="10" t="s">
        <v>114</v>
      </c>
      <c r="R107" s="10" t="s">
        <v>115</v>
      </c>
      <c r="S107" s="10" t="s">
        <v>115</v>
      </c>
      <c r="T107" s="12" t="s">
        <v>116</v>
      </c>
    </row>
    <row r="108" spans="1:20" hidden="1" x14ac:dyDescent="0.35">
      <c r="B108" s="1" t="s">
        <v>153</v>
      </c>
      <c r="C108" s="1" t="s">
        <v>154</v>
      </c>
      <c r="D108" s="1" t="s">
        <v>459</v>
      </c>
      <c r="E108" s="1" t="s">
        <v>459</v>
      </c>
      <c r="F108" s="1" t="s">
        <v>457</v>
      </c>
      <c r="G108" s="1"/>
      <c r="H108" s="1"/>
      <c r="I108" s="1"/>
      <c r="J108" s="1"/>
      <c r="K108" s="1" t="s">
        <v>462</v>
      </c>
      <c r="L108" s="1" t="s">
        <v>457</v>
      </c>
      <c r="M108" s="21" t="s">
        <v>476</v>
      </c>
      <c r="N108" s="1" t="s">
        <v>10</v>
      </c>
      <c r="O108" s="11" t="s">
        <v>148</v>
      </c>
      <c r="P108" s="10" t="s">
        <v>113</v>
      </c>
      <c r="Q108" s="10" t="s">
        <v>114</v>
      </c>
      <c r="R108" s="10" t="s">
        <v>115</v>
      </c>
      <c r="S108" s="10" t="s">
        <v>115</v>
      </c>
      <c r="T108" s="12" t="s">
        <v>116</v>
      </c>
    </row>
    <row r="109" spans="1:20" hidden="1" x14ac:dyDescent="0.35">
      <c r="B109" s="1" t="s">
        <v>155</v>
      </c>
      <c r="C109" s="1" t="s">
        <v>154</v>
      </c>
      <c r="D109" s="1" t="s">
        <v>459</v>
      </c>
      <c r="E109" s="1" t="s">
        <v>459</v>
      </c>
      <c r="F109" s="1" t="s">
        <v>457</v>
      </c>
      <c r="G109" s="1"/>
      <c r="H109" s="1"/>
      <c r="I109" s="1"/>
      <c r="J109" s="1"/>
      <c r="K109" s="1" t="s">
        <v>462</v>
      </c>
      <c r="L109" s="1" t="s">
        <v>457</v>
      </c>
      <c r="M109" s="21" t="s">
        <v>476</v>
      </c>
      <c r="N109" s="1" t="s">
        <v>14</v>
      </c>
      <c r="O109" s="11" t="s">
        <v>148</v>
      </c>
      <c r="P109" s="10" t="s">
        <v>118</v>
      </c>
      <c r="Q109" s="10" t="s">
        <v>114</v>
      </c>
      <c r="R109" s="10" t="s">
        <v>115</v>
      </c>
      <c r="S109" s="10" t="s">
        <v>115</v>
      </c>
      <c r="T109" s="12" t="s">
        <v>116</v>
      </c>
    </row>
    <row r="110" spans="1:20" hidden="1" x14ac:dyDescent="0.35">
      <c r="B110" s="1" t="s">
        <v>149</v>
      </c>
      <c r="C110" s="1" t="s">
        <v>154</v>
      </c>
      <c r="D110" s="1" t="s">
        <v>459</v>
      </c>
      <c r="E110" s="1" t="s">
        <v>459</v>
      </c>
      <c r="F110" s="1" t="s">
        <v>457</v>
      </c>
      <c r="G110" s="1"/>
      <c r="H110" s="1"/>
      <c r="I110" s="1"/>
      <c r="J110" s="1"/>
      <c r="K110" s="1" t="s">
        <v>462</v>
      </c>
      <c r="L110" s="1" t="s">
        <v>457</v>
      </c>
      <c r="M110" s="21" t="s">
        <v>476</v>
      </c>
      <c r="N110" s="1" t="s">
        <v>16</v>
      </c>
      <c r="O110" s="11" t="s">
        <v>148</v>
      </c>
      <c r="P110" s="10" t="s">
        <v>150</v>
      </c>
      <c r="Q110" s="10" t="s">
        <v>114</v>
      </c>
      <c r="R110" s="10" t="s">
        <v>115</v>
      </c>
      <c r="S110" s="10" t="s">
        <v>115</v>
      </c>
      <c r="T110" s="12" t="s">
        <v>116</v>
      </c>
    </row>
    <row r="111" spans="1:20" hidden="1" x14ac:dyDescent="0.35">
      <c r="B111" s="1" t="s">
        <v>156</v>
      </c>
      <c r="C111" s="1" t="s">
        <v>154</v>
      </c>
      <c r="D111" s="1" t="s">
        <v>459</v>
      </c>
      <c r="E111" s="1" t="s">
        <v>459</v>
      </c>
      <c r="F111" s="1" t="s">
        <v>457</v>
      </c>
      <c r="G111" s="1"/>
      <c r="H111" s="1"/>
      <c r="I111" s="1"/>
      <c r="J111" s="1"/>
      <c r="K111" s="1" t="s">
        <v>462</v>
      </c>
      <c r="L111" s="1" t="s">
        <v>457</v>
      </c>
      <c r="M111" s="21" t="s">
        <v>476</v>
      </c>
      <c r="N111" s="1" t="s">
        <v>157</v>
      </c>
      <c r="O111" s="11"/>
      <c r="P111" s="10" t="s">
        <v>158</v>
      </c>
      <c r="Q111" s="10" t="s">
        <v>114</v>
      </c>
      <c r="R111" s="10" t="s">
        <v>115</v>
      </c>
      <c r="S111" s="10" t="s">
        <v>115</v>
      </c>
      <c r="T111" s="12" t="s">
        <v>116</v>
      </c>
    </row>
    <row r="112" spans="1:20" hidden="1" x14ac:dyDescent="0.35">
      <c r="B112" s="1" t="s">
        <v>153</v>
      </c>
      <c r="C112" s="1" t="s">
        <v>159</v>
      </c>
      <c r="D112" s="1" t="s">
        <v>457</v>
      </c>
      <c r="E112" s="1"/>
      <c r="F112" s="1"/>
      <c r="G112" s="1"/>
      <c r="H112" s="1"/>
      <c r="I112" s="1"/>
      <c r="J112" s="1"/>
      <c r="K112" s="1" t="s">
        <v>458</v>
      </c>
      <c r="L112" s="1"/>
      <c r="M112" s="1"/>
      <c r="N112" s="1" t="s">
        <v>10</v>
      </c>
      <c r="O112" s="11" t="s">
        <v>148</v>
      </c>
      <c r="P112" s="10" t="s">
        <v>113</v>
      </c>
      <c r="Q112" s="10" t="s">
        <v>114</v>
      </c>
      <c r="R112" s="10" t="s">
        <v>115</v>
      </c>
      <c r="S112" s="10" t="s">
        <v>115</v>
      </c>
      <c r="T112" s="12" t="s">
        <v>116</v>
      </c>
    </row>
    <row r="113" spans="2:20" hidden="1" x14ac:dyDescent="0.35">
      <c r="B113" s="1" t="s">
        <v>155</v>
      </c>
      <c r="C113" s="1" t="s">
        <v>159</v>
      </c>
      <c r="D113" s="1" t="s">
        <v>457</v>
      </c>
      <c r="E113" s="1"/>
      <c r="F113" s="1"/>
      <c r="G113" s="1"/>
      <c r="H113" s="1"/>
      <c r="I113" s="1"/>
      <c r="J113" s="1"/>
      <c r="K113" s="1" t="s">
        <v>458</v>
      </c>
      <c r="L113" s="1"/>
      <c r="M113" s="1"/>
      <c r="N113" s="1" t="s">
        <v>14</v>
      </c>
      <c r="O113" s="11" t="s">
        <v>148</v>
      </c>
      <c r="P113" s="10" t="s">
        <v>118</v>
      </c>
      <c r="Q113" s="10" t="s">
        <v>114</v>
      </c>
      <c r="R113" s="10" t="s">
        <v>115</v>
      </c>
      <c r="S113" s="10" t="s">
        <v>115</v>
      </c>
      <c r="T113" s="12" t="s">
        <v>116</v>
      </c>
    </row>
    <row r="114" spans="2:20" hidden="1" x14ac:dyDescent="0.35">
      <c r="B114" s="1" t="s">
        <v>160</v>
      </c>
      <c r="C114" s="1" t="s">
        <v>159</v>
      </c>
      <c r="D114" s="1" t="s">
        <v>457</v>
      </c>
      <c r="E114" s="1"/>
      <c r="F114" s="1"/>
      <c r="G114" s="1"/>
      <c r="H114" s="1"/>
      <c r="I114" s="1"/>
      <c r="J114" s="1"/>
      <c r="K114" s="1" t="s">
        <v>458</v>
      </c>
      <c r="L114" s="1"/>
      <c r="M114" s="1"/>
      <c r="N114" s="1" t="s">
        <v>16</v>
      </c>
      <c r="O114" s="11" t="s">
        <v>148</v>
      </c>
      <c r="P114" s="10" t="s">
        <v>161</v>
      </c>
      <c r="Q114" s="10" t="s">
        <v>114</v>
      </c>
      <c r="R114" s="10" t="s">
        <v>115</v>
      </c>
      <c r="S114" s="10" t="s">
        <v>115</v>
      </c>
      <c r="T114" s="12" t="s">
        <v>116</v>
      </c>
    </row>
    <row r="115" spans="2:20" hidden="1" x14ac:dyDescent="0.35">
      <c r="B115" s="1" t="s">
        <v>162</v>
      </c>
      <c r="C115" s="1" t="s">
        <v>159</v>
      </c>
      <c r="D115" s="1" t="s">
        <v>457</v>
      </c>
      <c r="E115" s="1"/>
      <c r="F115" s="1"/>
      <c r="G115" s="1"/>
      <c r="H115" s="1"/>
      <c r="I115" s="1"/>
      <c r="J115" s="1"/>
      <c r="K115" s="1" t="s">
        <v>458</v>
      </c>
      <c r="L115" s="1"/>
      <c r="M115" s="1"/>
      <c r="N115" s="1" t="s">
        <v>163</v>
      </c>
      <c r="O115" s="11"/>
      <c r="P115" s="10" t="s">
        <v>164</v>
      </c>
      <c r="Q115" s="10" t="s">
        <v>114</v>
      </c>
      <c r="R115" s="10" t="s">
        <v>115</v>
      </c>
      <c r="S115" s="10" t="s">
        <v>115</v>
      </c>
      <c r="T115" s="12" t="s">
        <v>116</v>
      </c>
    </row>
    <row r="116" spans="2:20" hidden="1" x14ac:dyDescent="0.35">
      <c r="B116" s="1" t="s">
        <v>153</v>
      </c>
      <c r="C116" s="1" t="s">
        <v>165</v>
      </c>
      <c r="D116" s="1" t="s">
        <v>457</v>
      </c>
      <c r="E116" s="1"/>
      <c r="F116" s="1"/>
      <c r="G116" s="1"/>
      <c r="H116" s="1"/>
      <c r="I116" s="1"/>
      <c r="J116" s="1"/>
      <c r="K116" s="1" t="s">
        <v>458</v>
      </c>
      <c r="L116" s="1"/>
      <c r="M116" s="1"/>
      <c r="N116" s="1" t="s">
        <v>10</v>
      </c>
      <c r="O116" s="11" t="s">
        <v>148</v>
      </c>
      <c r="P116" s="10" t="s">
        <v>113</v>
      </c>
      <c r="Q116" s="10" t="s">
        <v>114</v>
      </c>
      <c r="R116" s="10"/>
      <c r="S116" s="10" t="s">
        <v>115</v>
      </c>
      <c r="T116" s="12" t="s">
        <v>116</v>
      </c>
    </row>
    <row r="117" spans="2:20" hidden="1" x14ac:dyDescent="0.35">
      <c r="B117" s="1" t="s">
        <v>155</v>
      </c>
      <c r="C117" s="1" t="s">
        <v>165</v>
      </c>
      <c r="D117" s="1" t="s">
        <v>457</v>
      </c>
      <c r="E117" s="1"/>
      <c r="F117" s="1"/>
      <c r="G117" s="1"/>
      <c r="H117" s="1"/>
      <c r="I117" s="1"/>
      <c r="J117" s="1"/>
      <c r="K117" s="1" t="s">
        <v>458</v>
      </c>
      <c r="L117" s="1"/>
      <c r="M117" s="1"/>
      <c r="N117" s="1" t="s">
        <v>14</v>
      </c>
      <c r="O117" s="11" t="s">
        <v>148</v>
      </c>
      <c r="P117" s="10" t="s">
        <v>118</v>
      </c>
      <c r="Q117" s="10" t="s">
        <v>114</v>
      </c>
      <c r="R117" s="10"/>
      <c r="S117" s="10" t="s">
        <v>115</v>
      </c>
      <c r="T117" s="12" t="s">
        <v>116</v>
      </c>
    </row>
    <row r="118" spans="2:20" hidden="1" x14ac:dyDescent="0.35">
      <c r="B118" s="1" t="s">
        <v>166</v>
      </c>
      <c r="C118" s="1" t="s">
        <v>165</v>
      </c>
      <c r="D118" s="1" t="s">
        <v>457</v>
      </c>
      <c r="E118" s="1"/>
      <c r="F118" s="1"/>
      <c r="G118" s="1"/>
      <c r="H118" s="1"/>
      <c r="I118" s="1"/>
      <c r="J118" s="1"/>
      <c r="K118" s="1" t="s">
        <v>458</v>
      </c>
      <c r="L118" s="1"/>
      <c r="M118" s="1"/>
      <c r="N118" s="1" t="s">
        <v>18</v>
      </c>
      <c r="O118" s="11"/>
      <c r="P118" s="10" t="s">
        <v>167</v>
      </c>
      <c r="Q118" s="10" t="s">
        <v>114</v>
      </c>
      <c r="R118" s="10" t="s">
        <v>168</v>
      </c>
      <c r="S118" s="10" t="s">
        <v>169</v>
      </c>
      <c r="T118" s="12" t="s">
        <v>114</v>
      </c>
    </row>
    <row r="119" spans="2:20" hidden="1" x14ac:dyDescent="0.35">
      <c r="B119" s="1" t="s">
        <v>170</v>
      </c>
      <c r="C119" s="1" t="s">
        <v>165</v>
      </c>
      <c r="D119" s="1" t="s">
        <v>457</v>
      </c>
      <c r="E119" s="1"/>
      <c r="F119" s="1"/>
      <c r="G119" s="1"/>
      <c r="H119" s="1"/>
      <c r="I119" s="1"/>
      <c r="J119" s="1"/>
      <c r="K119" s="1" t="s">
        <v>458</v>
      </c>
      <c r="L119" s="1"/>
      <c r="M119" s="1"/>
      <c r="N119" s="1" t="s">
        <v>171</v>
      </c>
      <c r="O119" s="11"/>
      <c r="P119" s="10" t="s">
        <v>172</v>
      </c>
      <c r="Q119" s="10" t="s">
        <v>114</v>
      </c>
      <c r="R119" s="10" t="s">
        <v>168</v>
      </c>
      <c r="S119" s="10" t="s">
        <v>173</v>
      </c>
      <c r="T119" s="12" t="s">
        <v>114</v>
      </c>
    </row>
    <row r="120" spans="2:20" hidden="1" x14ac:dyDescent="0.35">
      <c r="B120" s="1" t="s">
        <v>174</v>
      </c>
      <c r="C120" s="1" t="s">
        <v>165</v>
      </c>
      <c r="D120" s="1" t="s">
        <v>457</v>
      </c>
      <c r="E120" s="1"/>
      <c r="F120" s="1"/>
      <c r="G120" s="1"/>
      <c r="H120" s="1"/>
      <c r="I120" s="1"/>
      <c r="J120" s="1"/>
      <c r="K120" s="1" t="s">
        <v>458</v>
      </c>
      <c r="L120" s="1"/>
      <c r="M120" s="1"/>
      <c r="N120" s="1" t="s">
        <v>16</v>
      </c>
      <c r="O120" s="11" t="s">
        <v>148</v>
      </c>
      <c r="P120" s="10" t="s">
        <v>175</v>
      </c>
      <c r="Q120" s="10" t="s">
        <v>114</v>
      </c>
      <c r="R120" s="10"/>
      <c r="S120" s="10"/>
      <c r="T120" s="12" t="s">
        <v>116</v>
      </c>
    </row>
    <row r="121" spans="2:20" hidden="1" x14ac:dyDescent="0.35">
      <c r="B121" s="1" t="s">
        <v>176</v>
      </c>
      <c r="C121" s="1" t="s">
        <v>165</v>
      </c>
      <c r="D121" s="1" t="s">
        <v>459</v>
      </c>
      <c r="E121" s="1" t="s">
        <v>457</v>
      </c>
      <c r="F121" s="1" t="s">
        <v>457</v>
      </c>
      <c r="G121" s="1" t="s">
        <v>477</v>
      </c>
      <c r="H121" s="1" t="s">
        <v>478</v>
      </c>
      <c r="I121" s="1" t="s">
        <v>176</v>
      </c>
      <c r="J121" s="1"/>
      <c r="K121" s="1" t="s">
        <v>458</v>
      </c>
      <c r="L121" s="1" t="s">
        <v>457</v>
      </c>
      <c r="M121" s="21" t="s">
        <v>479</v>
      </c>
      <c r="N121" s="1" t="s">
        <v>177</v>
      </c>
      <c r="O121" s="11"/>
      <c r="P121" s="10" t="s">
        <v>178</v>
      </c>
      <c r="Q121" s="10" t="s">
        <v>114</v>
      </c>
      <c r="R121" s="10" t="s">
        <v>179</v>
      </c>
      <c r="S121" s="10" t="s">
        <v>180</v>
      </c>
      <c r="T121" s="12" t="s">
        <v>116</v>
      </c>
    </row>
    <row r="122" spans="2:20" hidden="1" x14ac:dyDescent="0.35">
      <c r="B122" s="1" t="s">
        <v>181</v>
      </c>
      <c r="C122" s="1" t="s">
        <v>165</v>
      </c>
      <c r="D122" s="1" t="s">
        <v>457</v>
      </c>
      <c r="E122" s="1"/>
      <c r="F122" s="1"/>
      <c r="G122" s="1"/>
      <c r="H122" s="1"/>
      <c r="I122" s="1"/>
      <c r="J122" s="1"/>
      <c r="K122" s="1" t="s">
        <v>458</v>
      </c>
      <c r="L122" s="1"/>
      <c r="M122" s="1"/>
      <c r="N122" s="1" t="s">
        <v>38</v>
      </c>
      <c r="O122" s="11"/>
      <c r="P122" s="10" t="s">
        <v>182</v>
      </c>
      <c r="Q122" s="10" t="s">
        <v>114</v>
      </c>
      <c r="R122" s="10" t="s">
        <v>168</v>
      </c>
      <c r="S122" s="10" t="s">
        <v>183</v>
      </c>
      <c r="T122" s="12" t="s">
        <v>116</v>
      </c>
    </row>
    <row r="123" spans="2:20" ht="58" hidden="1" x14ac:dyDescent="0.35">
      <c r="B123" s="1" t="s">
        <v>480</v>
      </c>
      <c r="C123" s="1" t="s">
        <v>165</v>
      </c>
      <c r="D123" s="1" t="s">
        <v>459</v>
      </c>
      <c r="E123" s="1" t="s">
        <v>457</v>
      </c>
      <c r="F123" s="1" t="s">
        <v>460</v>
      </c>
      <c r="G123" s="1"/>
      <c r="H123" s="1"/>
      <c r="I123" s="1"/>
      <c r="J123" s="1" t="s">
        <v>468</v>
      </c>
      <c r="K123" s="1" t="s">
        <v>462</v>
      </c>
      <c r="L123" s="1" t="s">
        <v>457</v>
      </c>
      <c r="M123" s="21" t="s">
        <v>481</v>
      </c>
      <c r="N123" s="1" t="s">
        <v>177</v>
      </c>
      <c r="O123" s="11"/>
      <c r="P123" s="10"/>
      <c r="Q123" s="10" t="s">
        <v>114</v>
      </c>
      <c r="R123" s="10"/>
      <c r="S123" s="10"/>
      <c r="T123" s="12" t="s">
        <v>116</v>
      </c>
    </row>
    <row r="124" spans="2:20" hidden="1" x14ac:dyDescent="0.35">
      <c r="B124" s="1" t="s">
        <v>184</v>
      </c>
      <c r="C124" s="1" t="s">
        <v>93</v>
      </c>
      <c r="D124" s="1" t="s">
        <v>457</v>
      </c>
      <c r="E124" s="1"/>
      <c r="F124" s="1"/>
      <c r="G124" s="1"/>
      <c r="H124" s="1"/>
      <c r="I124" s="1"/>
      <c r="J124" s="1"/>
      <c r="K124" s="1" t="s">
        <v>458</v>
      </c>
      <c r="L124" s="1"/>
      <c r="M124" s="1"/>
      <c r="N124" s="1" t="s">
        <v>14</v>
      </c>
      <c r="O124" s="11"/>
      <c r="P124" s="10" t="s">
        <v>185</v>
      </c>
      <c r="Q124" s="10" t="s">
        <v>114</v>
      </c>
      <c r="R124" s="10" t="s">
        <v>115</v>
      </c>
      <c r="S124" s="10" t="s">
        <v>115</v>
      </c>
      <c r="T124" s="12" t="s">
        <v>114</v>
      </c>
    </row>
    <row r="125" spans="2:20" hidden="1" x14ac:dyDescent="0.35">
      <c r="B125" s="1" t="s">
        <v>186</v>
      </c>
      <c r="C125" s="1" t="s">
        <v>93</v>
      </c>
      <c r="D125" s="1" t="s">
        <v>457</v>
      </c>
      <c r="E125" s="1"/>
      <c r="F125" s="1"/>
      <c r="G125" s="1"/>
      <c r="H125" s="1"/>
      <c r="I125" s="1"/>
      <c r="J125" s="1"/>
      <c r="K125" s="1" t="s">
        <v>458</v>
      </c>
      <c r="L125" s="1"/>
      <c r="M125" s="1"/>
      <c r="N125" s="1" t="s">
        <v>10</v>
      </c>
      <c r="O125" s="11" t="s">
        <v>4</v>
      </c>
      <c r="P125" s="10" t="s">
        <v>187</v>
      </c>
      <c r="Q125" s="10" t="s">
        <v>114</v>
      </c>
      <c r="R125" s="10" t="s">
        <v>115</v>
      </c>
      <c r="S125" s="10" t="s">
        <v>115</v>
      </c>
      <c r="T125" s="12" t="s">
        <v>116</v>
      </c>
    </row>
    <row r="126" spans="2:20" hidden="1" x14ac:dyDescent="0.35">
      <c r="B126" s="1" t="s">
        <v>188</v>
      </c>
      <c r="C126" s="1" t="s">
        <v>93</v>
      </c>
      <c r="D126" s="1" t="s">
        <v>457</v>
      </c>
      <c r="E126" s="1"/>
      <c r="F126" s="1"/>
      <c r="G126" s="1"/>
      <c r="H126" s="1"/>
      <c r="I126" s="1"/>
      <c r="J126" s="1"/>
      <c r="K126" s="1" t="s">
        <v>458</v>
      </c>
      <c r="L126" s="1"/>
      <c r="M126" s="1"/>
      <c r="N126" s="1" t="s">
        <v>14</v>
      </c>
      <c r="O126" s="11" t="s">
        <v>4</v>
      </c>
      <c r="P126" s="10" t="s">
        <v>189</v>
      </c>
      <c r="Q126" s="10" t="s">
        <v>114</v>
      </c>
      <c r="R126" s="10" t="s">
        <v>115</v>
      </c>
      <c r="S126" s="10" t="s">
        <v>115</v>
      </c>
      <c r="T126" s="12" t="s">
        <v>116</v>
      </c>
    </row>
    <row r="127" spans="2:20" hidden="1" x14ac:dyDescent="0.35">
      <c r="B127" s="1" t="s">
        <v>190</v>
      </c>
      <c r="C127" s="1" t="s">
        <v>93</v>
      </c>
      <c r="D127" s="1" t="s">
        <v>457</v>
      </c>
      <c r="E127" s="1"/>
      <c r="F127" s="1"/>
      <c r="G127" s="1"/>
      <c r="H127" s="1"/>
      <c r="I127" s="1"/>
      <c r="J127" s="1"/>
      <c r="K127" s="1" t="s">
        <v>458</v>
      </c>
      <c r="L127" s="1"/>
      <c r="M127" s="1"/>
      <c r="N127" s="1" t="s">
        <v>16</v>
      </c>
      <c r="O127" s="11" t="s">
        <v>4</v>
      </c>
      <c r="P127" s="10" t="s">
        <v>191</v>
      </c>
      <c r="Q127" s="10" t="s">
        <v>114</v>
      </c>
      <c r="R127" s="10" t="s">
        <v>115</v>
      </c>
      <c r="S127" s="10" t="s">
        <v>115</v>
      </c>
      <c r="T127" s="12" t="s">
        <v>116</v>
      </c>
    </row>
    <row r="128" spans="2:20" hidden="1" x14ac:dyDescent="0.35">
      <c r="B128" s="1" t="s">
        <v>112</v>
      </c>
      <c r="C128" s="1" t="s">
        <v>93</v>
      </c>
      <c r="D128" s="1" t="s">
        <v>457</v>
      </c>
      <c r="E128" s="1"/>
      <c r="F128" s="1"/>
      <c r="G128" s="1"/>
      <c r="H128" s="40"/>
      <c r="I128" s="1"/>
      <c r="J128" s="1"/>
      <c r="K128" s="1" t="s">
        <v>458</v>
      </c>
      <c r="L128" s="1"/>
      <c r="M128" s="1"/>
      <c r="N128" s="1" t="s">
        <v>10</v>
      </c>
      <c r="O128" s="11" t="s">
        <v>192</v>
      </c>
      <c r="P128" s="10" t="s">
        <v>113</v>
      </c>
      <c r="Q128" s="10" t="s">
        <v>114</v>
      </c>
      <c r="R128" s="10" t="s">
        <v>115</v>
      </c>
      <c r="S128" s="10" t="s">
        <v>115</v>
      </c>
      <c r="T128" s="12" t="s">
        <v>116</v>
      </c>
    </row>
    <row r="129" spans="2:20" hidden="1" x14ac:dyDescent="0.35">
      <c r="B129" s="1" t="s">
        <v>117</v>
      </c>
      <c r="C129" s="1" t="s">
        <v>93</v>
      </c>
      <c r="D129" s="1" t="s">
        <v>457</v>
      </c>
      <c r="E129" s="1"/>
      <c r="F129" s="1"/>
      <c r="G129" s="1"/>
      <c r="H129" s="1"/>
      <c r="I129" s="1"/>
      <c r="J129" s="1"/>
      <c r="K129" s="1" t="s">
        <v>458</v>
      </c>
      <c r="L129" s="1"/>
      <c r="M129" s="1"/>
      <c r="N129" s="1" t="s">
        <v>14</v>
      </c>
      <c r="O129" s="11" t="s">
        <v>192</v>
      </c>
      <c r="P129" s="10" t="s">
        <v>118</v>
      </c>
      <c r="Q129" s="10" t="s">
        <v>114</v>
      </c>
      <c r="R129" s="10" t="s">
        <v>115</v>
      </c>
      <c r="S129" s="10" t="s">
        <v>115</v>
      </c>
      <c r="T129" s="12" t="s">
        <v>116</v>
      </c>
    </row>
    <row r="130" spans="2:20" hidden="1" x14ac:dyDescent="0.35">
      <c r="B130" s="1" t="s">
        <v>121</v>
      </c>
      <c r="C130" s="1" t="s">
        <v>93</v>
      </c>
      <c r="D130" s="1" t="s">
        <v>457</v>
      </c>
      <c r="E130" s="1"/>
      <c r="F130" s="1"/>
      <c r="G130" s="1"/>
      <c r="H130" s="1"/>
      <c r="I130" s="1"/>
      <c r="J130" s="1"/>
      <c r="K130" s="1" t="s">
        <v>458</v>
      </c>
      <c r="L130" s="1"/>
      <c r="M130" s="1"/>
      <c r="N130" s="1" t="s">
        <v>16</v>
      </c>
      <c r="O130" s="11" t="s">
        <v>192</v>
      </c>
      <c r="P130" s="10" t="s">
        <v>122</v>
      </c>
      <c r="Q130" s="10" t="s">
        <v>114</v>
      </c>
      <c r="R130" s="10" t="s">
        <v>115</v>
      </c>
      <c r="S130" s="10" t="s">
        <v>115</v>
      </c>
      <c r="T130" s="12" t="s">
        <v>116</v>
      </c>
    </row>
    <row r="131" spans="2:20" hidden="1" x14ac:dyDescent="0.35">
      <c r="B131" s="1" t="s">
        <v>193</v>
      </c>
      <c r="C131" s="1" t="s">
        <v>93</v>
      </c>
      <c r="D131" s="1" t="s">
        <v>459</v>
      </c>
      <c r="E131" s="1"/>
      <c r="F131" s="1"/>
      <c r="G131" s="1"/>
      <c r="H131" s="1" t="s">
        <v>460</v>
      </c>
      <c r="I131" s="1" t="s">
        <v>460</v>
      </c>
      <c r="J131" s="1" t="s">
        <v>461</v>
      </c>
      <c r="K131" s="1" t="s">
        <v>462</v>
      </c>
      <c r="L131" s="1"/>
      <c r="M131" s="1" t="s">
        <v>463</v>
      </c>
      <c r="N131" s="1" t="s">
        <v>10</v>
      </c>
      <c r="O131" s="11"/>
      <c r="P131" s="43" t="s">
        <v>132</v>
      </c>
      <c r="Q131" s="10" t="s">
        <v>133</v>
      </c>
      <c r="R131" s="10" t="s">
        <v>115</v>
      </c>
      <c r="S131" s="10" t="s">
        <v>115</v>
      </c>
      <c r="T131" s="12" t="s">
        <v>116</v>
      </c>
    </row>
    <row r="132" spans="2:20" hidden="1" x14ac:dyDescent="0.35">
      <c r="B132" s="1" t="s">
        <v>194</v>
      </c>
      <c r="C132" s="1" t="s">
        <v>93</v>
      </c>
      <c r="D132" s="1" t="s">
        <v>459</v>
      </c>
      <c r="E132" s="1"/>
      <c r="F132" s="1"/>
      <c r="G132" s="1"/>
      <c r="H132" s="1" t="s">
        <v>460</v>
      </c>
      <c r="I132" s="1" t="s">
        <v>460</v>
      </c>
      <c r="J132" s="1" t="s">
        <v>461</v>
      </c>
      <c r="K132" s="1" t="s">
        <v>462</v>
      </c>
      <c r="L132" s="1"/>
      <c r="M132" s="1" t="s">
        <v>463</v>
      </c>
      <c r="N132" s="1" t="s">
        <v>14</v>
      </c>
      <c r="O132" s="11"/>
      <c r="P132" s="43" t="s">
        <v>132</v>
      </c>
      <c r="Q132" s="10" t="s">
        <v>133</v>
      </c>
      <c r="R132" s="10" t="s">
        <v>115</v>
      </c>
      <c r="S132" s="10" t="s">
        <v>115</v>
      </c>
      <c r="T132" s="12" t="s">
        <v>116</v>
      </c>
    </row>
    <row r="133" spans="2:20" hidden="1" x14ac:dyDescent="0.35">
      <c r="B133" s="1" t="s">
        <v>195</v>
      </c>
      <c r="C133" s="1" t="s">
        <v>93</v>
      </c>
      <c r="D133" s="1" t="s">
        <v>459</v>
      </c>
      <c r="E133" s="1"/>
      <c r="F133" s="1"/>
      <c r="G133" s="1"/>
      <c r="H133" s="1" t="s">
        <v>460</v>
      </c>
      <c r="I133" s="1" t="s">
        <v>460</v>
      </c>
      <c r="J133" s="1" t="s">
        <v>461</v>
      </c>
      <c r="K133" s="1" t="s">
        <v>462</v>
      </c>
      <c r="L133" s="1"/>
      <c r="M133" s="1" t="s">
        <v>463</v>
      </c>
      <c r="N133" s="1" t="s">
        <v>16</v>
      </c>
      <c r="O133" s="11"/>
      <c r="P133" s="43" t="s">
        <v>132</v>
      </c>
      <c r="Q133" s="10" t="s">
        <v>133</v>
      </c>
      <c r="R133" s="10" t="s">
        <v>115</v>
      </c>
      <c r="S133" s="10" t="s">
        <v>115</v>
      </c>
      <c r="T133" s="12" t="s">
        <v>116</v>
      </c>
    </row>
    <row r="134" spans="2:20" hidden="1" x14ac:dyDescent="0.35">
      <c r="B134" s="1" t="s">
        <v>196</v>
      </c>
      <c r="C134" s="1" t="s">
        <v>93</v>
      </c>
      <c r="D134" s="1" t="s">
        <v>459</v>
      </c>
      <c r="E134" s="1"/>
      <c r="F134" s="1"/>
      <c r="G134" s="1"/>
      <c r="H134" s="1" t="s">
        <v>460</v>
      </c>
      <c r="I134" s="1" t="s">
        <v>460</v>
      </c>
      <c r="J134" s="1" t="s">
        <v>461</v>
      </c>
      <c r="K134" s="1" t="s">
        <v>462</v>
      </c>
      <c r="L134" s="1"/>
      <c r="M134" s="1" t="s">
        <v>463</v>
      </c>
      <c r="N134" s="1" t="s">
        <v>65</v>
      </c>
      <c r="O134" s="11"/>
      <c r="P134" s="43" t="s">
        <v>132</v>
      </c>
      <c r="Q134" s="10" t="s">
        <v>133</v>
      </c>
      <c r="R134" s="10" t="s">
        <v>115</v>
      </c>
      <c r="S134" s="10" t="s">
        <v>115</v>
      </c>
      <c r="T134" s="12" t="s">
        <v>116</v>
      </c>
    </row>
    <row r="135" spans="2:20" hidden="1" x14ac:dyDescent="0.35">
      <c r="B135" s="1" t="s">
        <v>197</v>
      </c>
      <c r="C135" s="1" t="s">
        <v>93</v>
      </c>
      <c r="D135" s="1" t="s">
        <v>459</v>
      </c>
      <c r="E135" s="1"/>
      <c r="F135" s="1"/>
      <c r="G135" s="1"/>
      <c r="H135" s="40" t="s">
        <v>460</v>
      </c>
      <c r="I135" s="1" t="s">
        <v>460</v>
      </c>
      <c r="J135" s="1" t="s">
        <v>461</v>
      </c>
      <c r="K135" s="1" t="s">
        <v>462</v>
      </c>
      <c r="L135" s="1"/>
      <c r="M135" s="1" t="s">
        <v>463</v>
      </c>
      <c r="N135" s="1" t="s">
        <v>27</v>
      </c>
      <c r="O135" s="11"/>
      <c r="P135" s="43" t="s">
        <v>132</v>
      </c>
      <c r="Q135" s="10" t="s">
        <v>133</v>
      </c>
      <c r="R135" s="10" t="s">
        <v>115</v>
      </c>
      <c r="S135" s="10" t="s">
        <v>115</v>
      </c>
      <c r="T135" s="12" t="s">
        <v>116</v>
      </c>
    </row>
    <row r="136" spans="2:20" hidden="1" x14ac:dyDescent="0.35">
      <c r="B136" s="1" t="s">
        <v>198</v>
      </c>
      <c r="C136" s="1" t="s">
        <v>93</v>
      </c>
      <c r="D136" s="1" t="s">
        <v>459</v>
      </c>
      <c r="E136" s="1"/>
      <c r="F136" s="1"/>
      <c r="G136" s="40"/>
      <c r="H136" s="40" t="s">
        <v>460</v>
      </c>
      <c r="I136" s="1" t="s">
        <v>460</v>
      </c>
      <c r="J136" s="1" t="s">
        <v>461</v>
      </c>
      <c r="K136" s="1" t="s">
        <v>462</v>
      </c>
      <c r="L136" s="1"/>
      <c r="M136" s="1" t="s">
        <v>463</v>
      </c>
      <c r="N136" s="1" t="s">
        <v>10</v>
      </c>
      <c r="O136" s="11"/>
      <c r="P136" s="43" t="s">
        <v>132</v>
      </c>
      <c r="Q136" s="10" t="s">
        <v>133</v>
      </c>
      <c r="R136" s="10" t="s">
        <v>115</v>
      </c>
      <c r="S136" s="10" t="s">
        <v>115</v>
      </c>
      <c r="T136" s="12" t="s">
        <v>116</v>
      </c>
    </row>
    <row r="137" spans="2:20" hidden="1" x14ac:dyDescent="0.35">
      <c r="B137" s="1" t="s">
        <v>199</v>
      </c>
      <c r="C137" s="1" t="s">
        <v>93</v>
      </c>
      <c r="D137" s="1" t="s">
        <v>459</v>
      </c>
      <c r="E137" s="1"/>
      <c r="F137" s="1"/>
      <c r="G137" s="1"/>
      <c r="H137" s="1" t="s">
        <v>460</v>
      </c>
      <c r="I137" s="1" t="s">
        <v>460</v>
      </c>
      <c r="J137" s="1" t="s">
        <v>461</v>
      </c>
      <c r="K137" s="1" t="s">
        <v>462</v>
      </c>
      <c r="L137" s="1"/>
      <c r="M137" s="1" t="s">
        <v>463</v>
      </c>
      <c r="N137" s="1" t="s">
        <v>14</v>
      </c>
      <c r="O137" s="11"/>
      <c r="P137" s="43" t="s">
        <v>132</v>
      </c>
      <c r="Q137" s="10" t="s">
        <v>133</v>
      </c>
      <c r="R137" s="10" t="s">
        <v>115</v>
      </c>
      <c r="S137" s="10" t="s">
        <v>115</v>
      </c>
      <c r="T137" s="12" t="s">
        <v>116</v>
      </c>
    </row>
    <row r="138" spans="2:20" hidden="1" x14ac:dyDescent="0.35">
      <c r="B138" s="1" t="s">
        <v>200</v>
      </c>
      <c r="C138" s="1" t="s">
        <v>93</v>
      </c>
      <c r="D138" s="1" t="s">
        <v>459</v>
      </c>
      <c r="E138" s="1"/>
      <c r="F138" s="1"/>
      <c r="G138" s="1"/>
      <c r="H138" s="1" t="s">
        <v>460</v>
      </c>
      <c r="I138" s="1" t="s">
        <v>460</v>
      </c>
      <c r="J138" s="1" t="s">
        <v>461</v>
      </c>
      <c r="K138" s="1" t="s">
        <v>462</v>
      </c>
      <c r="L138" s="1"/>
      <c r="M138" s="1" t="s">
        <v>463</v>
      </c>
      <c r="N138" s="1" t="s">
        <v>16</v>
      </c>
      <c r="O138" s="11"/>
      <c r="P138" s="43" t="s">
        <v>132</v>
      </c>
      <c r="Q138" s="10" t="s">
        <v>133</v>
      </c>
      <c r="R138" s="10" t="s">
        <v>115</v>
      </c>
      <c r="S138" s="10" t="s">
        <v>115</v>
      </c>
      <c r="T138" s="12" t="s">
        <v>116</v>
      </c>
    </row>
    <row r="139" spans="2:20" hidden="1" x14ac:dyDescent="0.35">
      <c r="B139" s="1" t="s">
        <v>201</v>
      </c>
      <c r="C139" s="1" t="s">
        <v>93</v>
      </c>
      <c r="D139" s="1" t="s">
        <v>459</v>
      </c>
      <c r="E139" s="1"/>
      <c r="F139" s="1"/>
      <c r="G139" s="1"/>
      <c r="H139" s="1" t="s">
        <v>460</v>
      </c>
      <c r="I139" s="1" t="s">
        <v>460</v>
      </c>
      <c r="J139" s="1" t="s">
        <v>461</v>
      </c>
      <c r="K139" s="1" t="s">
        <v>462</v>
      </c>
      <c r="L139" s="1"/>
      <c r="M139" s="1" t="s">
        <v>463</v>
      </c>
      <c r="N139" s="1" t="s">
        <v>144</v>
      </c>
      <c r="O139" s="11"/>
      <c r="P139" s="43" t="s">
        <v>132</v>
      </c>
      <c r="Q139" s="10" t="s">
        <v>133</v>
      </c>
      <c r="R139" s="10">
        <v>0</v>
      </c>
      <c r="S139" s="10">
        <v>0</v>
      </c>
      <c r="T139" s="12" t="s">
        <v>116</v>
      </c>
    </row>
    <row r="140" spans="2:20" hidden="1" x14ac:dyDescent="0.35">
      <c r="B140" s="1" t="s">
        <v>405</v>
      </c>
      <c r="C140" s="1" t="s">
        <v>93</v>
      </c>
      <c r="D140" s="1" t="s">
        <v>459</v>
      </c>
      <c r="E140" s="1" t="s">
        <v>457</v>
      </c>
      <c r="F140" s="1" t="s">
        <v>457</v>
      </c>
      <c r="G140" s="1"/>
      <c r="H140" s="1"/>
      <c r="I140" s="1"/>
      <c r="J140" s="1"/>
      <c r="K140" s="1" t="s">
        <v>462</v>
      </c>
      <c r="L140" s="32" t="s">
        <v>459</v>
      </c>
      <c r="M140" s="21" t="s">
        <v>482</v>
      </c>
      <c r="N140" s="1" t="s">
        <v>14</v>
      </c>
      <c r="O140" s="11"/>
      <c r="P140" s="10"/>
      <c r="Q140" s="10" t="s">
        <v>114</v>
      </c>
      <c r="R140" s="10" t="s">
        <v>483</v>
      </c>
      <c r="S140" s="10" t="s">
        <v>406</v>
      </c>
      <c r="T140" s="12" t="s">
        <v>114</v>
      </c>
    </row>
    <row r="141" spans="2:20" hidden="1" x14ac:dyDescent="0.35">
      <c r="B141" s="1" t="s">
        <v>186</v>
      </c>
      <c r="C141" s="1" t="s">
        <v>484</v>
      </c>
      <c r="D141" s="1" t="s">
        <v>457</v>
      </c>
      <c r="E141" s="1"/>
      <c r="F141" s="1"/>
      <c r="G141" s="1"/>
      <c r="H141" s="1"/>
      <c r="I141" s="1"/>
      <c r="J141" s="1"/>
      <c r="K141" s="1" t="s">
        <v>458</v>
      </c>
      <c r="L141" s="1"/>
      <c r="M141" s="1"/>
      <c r="N141" s="1" t="s">
        <v>10</v>
      </c>
      <c r="O141" s="11" t="s">
        <v>148</v>
      </c>
      <c r="P141" s="10" t="s">
        <v>187</v>
      </c>
      <c r="Q141" s="10" t="s">
        <v>114</v>
      </c>
      <c r="R141" s="10"/>
      <c r="S141" s="10"/>
      <c r="T141" s="12" t="s">
        <v>116</v>
      </c>
    </row>
    <row r="142" spans="2:20" hidden="1" x14ac:dyDescent="0.35">
      <c r="B142" s="1" t="s">
        <v>188</v>
      </c>
      <c r="C142" s="1" t="s">
        <v>484</v>
      </c>
      <c r="D142" s="1" t="s">
        <v>457</v>
      </c>
      <c r="E142" s="1"/>
      <c r="F142" s="1"/>
      <c r="G142" s="1"/>
      <c r="H142" s="1"/>
      <c r="I142" s="1"/>
      <c r="J142" s="1"/>
      <c r="K142" s="1" t="s">
        <v>458</v>
      </c>
      <c r="L142" s="1"/>
      <c r="M142" s="1"/>
      <c r="N142" s="1" t="s">
        <v>14</v>
      </c>
      <c r="O142" s="11" t="s">
        <v>148</v>
      </c>
      <c r="P142" s="10" t="s">
        <v>189</v>
      </c>
      <c r="Q142" s="10" t="s">
        <v>114</v>
      </c>
      <c r="R142" s="10"/>
      <c r="S142" s="10"/>
      <c r="T142" s="12" t="s">
        <v>116</v>
      </c>
    </row>
    <row r="143" spans="2:20" hidden="1" x14ac:dyDescent="0.35">
      <c r="B143" s="1" t="s">
        <v>190</v>
      </c>
      <c r="C143" s="1" t="s">
        <v>484</v>
      </c>
      <c r="D143" s="1" t="s">
        <v>457</v>
      </c>
      <c r="E143" s="1"/>
      <c r="F143" s="1"/>
      <c r="G143" s="1"/>
      <c r="H143" s="1"/>
      <c r="I143" s="1"/>
      <c r="J143" s="1"/>
      <c r="K143" s="1" t="s">
        <v>458</v>
      </c>
      <c r="L143" s="1"/>
      <c r="M143" s="1"/>
      <c r="N143" s="1" t="s">
        <v>16</v>
      </c>
      <c r="O143" s="11" t="s">
        <v>148</v>
      </c>
      <c r="P143" s="10" t="s">
        <v>191</v>
      </c>
      <c r="Q143" s="10" t="s">
        <v>114</v>
      </c>
      <c r="R143" s="10"/>
      <c r="S143" s="10"/>
      <c r="T143" s="12" t="s">
        <v>116</v>
      </c>
    </row>
    <row r="144" spans="2:20" hidden="1" x14ac:dyDescent="0.35">
      <c r="B144" s="1" t="s">
        <v>485</v>
      </c>
      <c r="C144" s="1" t="s">
        <v>484</v>
      </c>
      <c r="D144" s="1" t="s">
        <v>457</v>
      </c>
      <c r="E144" s="1"/>
      <c r="F144" s="1"/>
      <c r="G144" s="1"/>
      <c r="H144" s="1"/>
      <c r="I144" s="1"/>
      <c r="J144" s="1"/>
      <c r="K144" s="1" t="s">
        <v>458</v>
      </c>
      <c r="L144" s="1"/>
      <c r="M144" s="1"/>
      <c r="N144" s="1" t="s">
        <v>220</v>
      </c>
      <c r="O144" s="11"/>
      <c r="P144" s="10" t="s">
        <v>486</v>
      </c>
      <c r="Q144" s="10" t="s">
        <v>114</v>
      </c>
      <c r="R144" s="10" t="s">
        <v>168</v>
      </c>
      <c r="S144" s="10" t="s">
        <v>487</v>
      </c>
      <c r="T144" s="12" t="s">
        <v>116</v>
      </c>
    </row>
    <row r="145" spans="2:20" hidden="1" x14ac:dyDescent="0.35">
      <c r="B145" s="1" t="s">
        <v>190</v>
      </c>
      <c r="C145" s="1" t="s">
        <v>202</v>
      </c>
      <c r="D145" s="1" t="s">
        <v>457</v>
      </c>
      <c r="E145" s="1"/>
      <c r="F145" s="1"/>
      <c r="G145" s="1"/>
      <c r="H145" s="1"/>
      <c r="I145" s="1"/>
      <c r="J145" s="1"/>
      <c r="K145" s="1" t="s">
        <v>458</v>
      </c>
      <c r="L145" s="1"/>
      <c r="M145" s="1"/>
      <c r="N145" s="1" t="s">
        <v>16</v>
      </c>
      <c r="O145" s="11" t="s">
        <v>148</v>
      </c>
      <c r="P145" s="10" t="s">
        <v>191</v>
      </c>
      <c r="Q145" s="10" t="s">
        <v>114</v>
      </c>
      <c r="R145" s="10"/>
      <c r="S145" s="10"/>
      <c r="T145" s="12" t="s">
        <v>116</v>
      </c>
    </row>
    <row r="146" spans="2:20" hidden="1" x14ac:dyDescent="0.35">
      <c r="B146" s="1" t="s">
        <v>488</v>
      </c>
      <c r="C146" s="1" t="s">
        <v>202</v>
      </c>
      <c r="D146" s="1" t="s">
        <v>457</v>
      </c>
      <c r="E146" s="1"/>
      <c r="F146" s="1"/>
      <c r="G146" s="1"/>
      <c r="H146" s="1"/>
      <c r="I146" s="1"/>
      <c r="J146" s="1"/>
      <c r="K146" s="1" t="s">
        <v>458</v>
      </c>
      <c r="L146" s="1"/>
      <c r="M146" s="1"/>
      <c r="N146" s="1" t="s">
        <v>146</v>
      </c>
      <c r="O146" s="11"/>
      <c r="P146" s="10" t="s">
        <v>489</v>
      </c>
      <c r="Q146" s="10" t="s">
        <v>114</v>
      </c>
      <c r="R146" s="10" t="s">
        <v>168</v>
      </c>
      <c r="S146" s="10" t="s">
        <v>490</v>
      </c>
      <c r="T146" s="12" t="s">
        <v>114</v>
      </c>
    </row>
    <row r="147" spans="2:20" hidden="1" x14ac:dyDescent="0.35">
      <c r="B147" s="1" t="s">
        <v>186</v>
      </c>
      <c r="C147" s="1" t="s">
        <v>202</v>
      </c>
      <c r="D147" s="1" t="s">
        <v>457</v>
      </c>
      <c r="E147" s="1"/>
      <c r="F147" s="1"/>
      <c r="G147" s="1"/>
      <c r="H147" s="1"/>
      <c r="I147" s="1"/>
      <c r="J147" s="1"/>
      <c r="K147" s="1" t="s">
        <v>458</v>
      </c>
      <c r="L147" s="1"/>
      <c r="M147" s="1"/>
      <c r="N147" s="1" t="s">
        <v>10</v>
      </c>
      <c r="O147" s="11" t="s">
        <v>148</v>
      </c>
      <c r="P147" s="10" t="s">
        <v>187</v>
      </c>
      <c r="Q147" s="10" t="s">
        <v>114</v>
      </c>
      <c r="R147" s="10"/>
      <c r="S147" s="10"/>
      <c r="T147" s="12" t="s">
        <v>116</v>
      </c>
    </row>
    <row r="148" spans="2:20" hidden="1" x14ac:dyDescent="0.35">
      <c r="B148" s="1" t="s">
        <v>188</v>
      </c>
      <c r="C148" s="1" t="s">
        <v>202</v>
      </c>
      <c r="D148" s="1" t="s">
        <v>457</v>
      </c>
      <c r="E148" s="1"/>
      <c r="F148" s="1"/>
      <c r="G148" s="1"/>
      <c r="H148" s="1"/>
      <c r="I148" s="1"/>
      <c r="J148" s="1"/>
      <c r="K148" s="1" t="s">
        <v>458</v>
      </c>
      <c r="L148" s="1"/>
      <c r="M148" s="1"/>
      <c r="N148" s="1" t="s">
        <v>14</v>
      </c>
      <c r="O148" s="11" t="s">
        <v>148</v>
      </c>
      <c r="P148" s="10" t="s">
        <v>189</v>
      </c>
      <c r="Q148" s="10" t="s">
        <v>114</v>
      </c>
      <c r="R148" s="10"/>
      <c r="S148" s="10"/>
      <c r="T148" s="12" t="s">
        <v>116</v>
      </c>
    </row>
    <row r="149" spans="2:20" hidden="1" x14ac:dyDescent="0.35">
      <c r="B149" s="1" t="s">
        <v>203</v>
      </c>
      <c r="C149" s="1" t="s">
        <v>64</v>
      </c>
      <c r="D149" s="1" t="s">
        <v>457</v>
      </c>
      <c r="E149" s="1"/>
      <c r="F149" s="1"/>
      <c r="G149" s="1"/>
      <c r="H149" s="1"/>
      <c r="I149" s="1"/>
      <c r="J149" s="1"/>
      <c r="K149" s="1" t="s">
        <v>458</v>
      </c>
      <c r="L149" s="1"/>
      <c r="M149" s="1"/>
      <c r="N149" s="1" t="s">
        <v>10</v>
      </c>
      <c r="O149" s="11" t="s">
        <v>4</v>
      </c>
      <c r="P149" s="10" t="s">
        <v>204</v>
      </c>
      <c r="Q149" s="10" t="s">
        <v>114</v>
      </c>
      <c r="R149" s="10" t="s">
        <v>115</v>
      </c>
      <c r="S149" s="10" t="s">
        <v>115</v>
      </c>
      <c r="T149" s="12" t="s">
        <v>116</v>
      </c>
    </row>
    <row r="150" spans="2:20" hidden="1" x14ac:dyDescent="0.35">
      <c r="B150" s="1" t="s">
        <v>205</v>
      </c>
      <c r="C150" s="1" t="s">
        <v>64</v>
      </c>
      <c r="D150" s="1" t="s">
        <v>457</v>
      </c>
      <c r="E150" s="1"/>
      <c r="F150" s="1"/>
      <c r="G150" s="1"/>
      <c r="H150" s="1"/>
      <c r="I150" s="1"/>
      <c r="J150" s="1"/>
      <c r="K150" s="1" t="s">
        <v>458</v>
      </c>
      <c r="L150" s="1"/>
      <c r="M150" s="1"/>
      <c r="N150" s="1" t="s">
        <v>14</v>
      </c>
      <c r="O150" s="11" t="s">
        <v>4</v>
      </c>
      <c r="P150" s="10" t="s">
        <v>206</v>
      </c>
      <c r="Q150" s="10" t="s">
        <v>114</v>
      </c>
      <c r="R150" s="10" t="s">
        <v>115</v>
      </c>
      <c r="S150" s="10" t="s">
        <v>115</v>
      </c>
      <c r="T150" s="12" t="s">
        <v>116</v>
      </c>
    </row>
    <row r="151" spans="2:20" hidden="1" x14ac:dyDescent="0.35">
      <c r="B151" s="1" t="s">
        <v>207</v>
      </c>
      <c r="C151" s="1" t="s">
        <v>64</v>
      </c>
      <c r="D151" s="1" t="s">
        <v>457</v>
      </c>
      <c r="E151" s="1"/>
      <c r="F151" s="1"/>
      <c r="G151" s="1"/>
      <c r="H151" s="1"/>
      <c r="I151" s="1"/>
      <c r="J151" s="1"/>
      <c r="K151" s="1" t="s">
        <v>458</v>
      </c>
      <c r="L151" s="1"/>
      <c r="M151" s="1"/>
      <c r="N151" s="1" t="s">
        <v>16</v>
      </c>
      <c r="O151" s="11" t="s">
        <v>4</v>
      </c>
      <c r="P151" s="10" t="s">
        <v>208</v>
      </c>
      <c r="Q151" s="10" t="s">
        <v>114</v>
      </c>
      <c r="R151" s="10" t="s">
        <v>115</v>
      </c>
      <c r="S151" s="10" t="s">
        <v>115</v>
      </c>
      <c r="T151" s="12" t="s">
        <v>116</v>
      </c>
    </row>
    <row r="152" spans="2:20" hidden="1" x14ac:dyDescent="0.35">
      <c r="B152" s="1" t="s">
        <v>209</v>
      </c>
      <c r="C152" s="1" t="s">
        <v>64</v>
      </c>
      <c r="D152" s="1" t="s">
        <v>457</v>
      </c>
      <c r="E152" s="1"/>
      <c r="F152" s="1"/>
      <c r="G152" s="1"/>
      <c r="H152" s="1"/>
      <c r="I152" s="1"/>
      <c r="J152" s="1"/>
      <c r="K152" s="1" t="s">
        <v>458</v>
      </c>
      <c r="L152" s="1"/>
      <c r="M152" s="1"/>
      <c r="N152" s="1" t="s">
        <v>33</v>
      </c>
      <c r="O152" s="11"/>
      <c r="P152" s="10" t="s">
        <v>210</v>
      </c>
      <c r="Q152" s="10" t="s">
        <v>114</v>
      </c>
      <c r="R152" s="10" t="s">
        <v>115</v>
      </c>
      <c r="S152" s="10" t="s">
        <v>115</v>
      </c>
      <c r="T152" s="12" t="s">
        <v>116</v>
      </c>
    </row>
    <row r="153" spans="2:20" hidden="1" x14ac:dyDescent="0.35">
      <c r="B153" s="1" t="s">
        <v>211</v>
      </c>
      <c r="C153" s="1" t="s">
        <v>64</v>
      </c>
      <c r="D153" s="1" t="s">
        <v>457</v>
      </c>
      <c r="E153" s="1"/>
      <c r="F153" s="1"/>
      <c r="G153" s="1"/>
      <c r="H153" s="1"/>
      <c r="I153" s="1"/>
      <c r="J153" s="1"/>
      <c r="K153" s="1" t="s">
        <v>458</v>
      </c>
      <c r="L153" s="1"/>
      <c r="M153" s="1"/>
      <c r="N153" s="1" t="s">
        <v>33</v>
      </c>
      <c r="O153" s="11"/>
      <c r="P153" s="10" t="s">
        <v>212</v>
      </c>
      <c r="Q153" s="10" t="s">
        <v>114</v>
      </c>
      <c r="R153" s="10" t="s">
        <v>115</v>
      </c>
      <c r="S153" s="10" t="s">
        <v>115</v>
      </c>
      <c r="T153" s="12" t="s">
        <v>116</v>
      </c>
    </row>
    <row r="154" spans="2:20" hidden="1" x14ac:dyDescent="0.35">
      <c r="B154" s="1" t="s">
        <v>186</v>
      </c>
      <c r="C154" s="1" t="s">
        <v>64</v>
      </c>
      <c r="D154" s="1" t="s">
        <v>457</v>
      </c>
      <c r="E154" s="1"/>
      <c r="F154" s="1"/>
      <c r="G154" s="1"/>
      <c r="H154" s="1"/>
      <c r="I154" s="1"/>
      <c r="J154" s="1"/>
      <c r="K154" s="1" t="s">
        <v>458</v>
      </c>
      <c r="L154" s="1"/>
      <c r="M154" s="1"/>
      <c r="N154" s="1" t="s">
        <v>10</v>
      </c>
      <c r="O154" s="11" t="s">
        <v>192</v>
      </c>
      <c r="P154" s="10" t="s">
        <v>187</v>
      </c>
      <c r="Q154" s="10" t="s">
        <v>114</v>
      </c>
      <c r="R154" s="10" t="s">
        <v>115</v>
      </c>
      <c r="S154" s="10" t="s">
        <v>115</v>
      </c>
      <c r="T154" s="12" t="s">
        <v>116</v>
      </c>
    </row>
    <row r="155" spans="2:20" hidden="1" x14ac:dyDescent="0.35">
      <c r="B155" s="1" t="s">
        <v>188</v>
      </c>
      <c r="C155" s="1" t="s">
        <v>64</v>
      </c>
      <c r="D155" s="1" t="s">
        <v>457</v>
      </c>
      <c r="E155" s="1"/>
      <c r="F155" s="1"/>
      <c r="G155" s="1"/>
      <c r="H155" s="1"/>
      <c r="I155" s="1"/>
      <c r="J155" s="1"/>
      <c r="K155" s="1" t="s">
        <v>458</v>
      </c>
      <c r="L155" s="1"/>
      <c r="M155" s="1"/>
      <c r="N155" s="1" t="s">
        <v>14</v>
      </c>
      <c r="O155" s="11" t="s">
        <v>192</v>
      </c>
      <c r="P155" s="10" t="s">
        <v>189</v>
      </c>
      <c r="Q155" s="10" t="s">
        <v>114</v>
      </c>
      <c r="R155" s="10" t="s">
        <v>115</v>
      </c>
      <c r="S155" s="10" t="s">
        <v>115</v>
      </c>
      <c r="T155" s="12" t="s">
        <v>116</v>
      </c>
    </row>
    <row r="156" spans="2:20" hidden="1" x14ac:dyDescent="0.35">
      <c r="B156" s="1" t="s">
        <v>190</v>
      </c>
      <c r="C156" s="1" t="s">
        <v>64</v>
      </c>
      <c r="D156" s="1" t="s">
        <v>457</v>
      </c>
      <c r="E156" s="1"/>
      <c r="F156" s="1"/>
      <c r="G156" s="1"/>
      <c r="H156" s="1"/>
      <c r="I156" s="1"/>
      <c r="J156" s="1"/>
      <c r="K156" s="1" t="s">
        <v>458</v>
      </c>
      <c r="L156" s="1"/>
      <c r="M156" s="1"/>
      <c r="N156" s="1" t="s">
        <v>16</v>
      </c>
      <c r="O156" s="11" t="s">
        <v>192</v>
      </c>
      <c r="P156" s="10" t="s">
        <v>191</v>
      </c>
      <c r="Q156" s="10" t="s">
        <v>114</v>
      </c>
      <c r="R156" s="10" t="s">
        <v>115</v>
      </c>
      <c r="S156" s="10" t="s">
        <v>115</v>
      </c>
      <c r="T156" s="12" t="s">
        <v>116</v>
      </c>
    </row>
    <row r="157" spans="2:20" hidden="1" x14ac:dyDescent="0.35">
      <c r="B157" s="1" t="s">
        <v>213</v>
      </c>
      <c r="C157" s="1" t="s">
        <v>64</v>
      </c>
      <c r="D157" s="1" t="s">
        <v>459</v>
      </c>
      <c r="E157" s="1"/>
      <c r="F157" s="1"/>
      <c r="G157" s="1"/>
      <c r="H157" s="1" t="s">
        <v>460</v>
      </c>
      <c r="I157" s="1" t="s">
        <v>460</v>
      </c>
      <c r="J157" s="1" t="s">
        <v>461</v>
      </c>
      <c r="K157" s="1" t="s">
        <v>462</v>
      </c>
      <c r="L157" s="1"/>
      <c r="M157" s="1" t="s">
        <v>463</v>
      </c>
      <c r="N157" s="1" t="s">
        <v>16</v>
      </c>
      <c r="O157" s="11"/>
      <c r="P157" s="43" t="s">
        <v>132</v>
      </c>
      <c r="Q157" s="10" t="s">
        <v>133</v>
      </c>
      <c r="R157" s="10" t="s">
        <v>115</v>
      </c>
      <c r="S157" s="10" t="s">
        <v>115</v>
      </c>
      <c r="T157" s="12" t="s">
        <v>116</v>
      </c>
    </row>
    <row r="158" spans="2:20" hidden="1" x14ac:dyDescent="0.35">
      <c r="B158" s="1" t="s">
        <v>214</v>
      </c>
      <c r="C158" s="1" t="s">
        <v>64</v>
      </c>
      <c r="D158" s="1" t="s">
        <v>459</v>
      </c>
      <c r="E158" s="1"/>
      <c r="F158" s="1"/>
      <c r="G158" s="1"/>
      <c r="H158" s="1" t="s">
        <v>460</v>
      </c>
      <c r="I158" s="1" t="s">
        <v>460</v>
      </c>
      <c r="J158" s="1" t="s">
        <v>461</v>
      </c>
      <c r="K158" s="1" t="s">
        <v>462</v>
      </c>
      <c r="L158" s="1"/>
      <c r="M158" s="1" t="s">
        <v>463</v>
      </c>
      <c r="N158" s="1" t="s">
        <v>10</v>
      </c>
      <c r="O158" s="11"/>
      <c r="P158" s="43" t="s">
        <v>132</v>
      </c>
      <c r="Q158" s="10" t="s">
        <v>133</v>
      </c>
      <c r="R158" s="10" t="s">
        <v>115</v>
      </c>
      <c r="S158" s="10" t="s">
        <v>115</v>
      </c>
      <c r="T158" s="12" t="s">
        <v>116</v>
      </c>
    </row>
    <row r="159" spans="2:20" hidden="1" x14ac:dyDescent="0.35">
      <c r="B159" s="1" t="s">
        <v>215</v>
      </c>
      <c r="C159" s="1" t="s">
        <v>64</v>
      </c>
      <c r="D159" s="1" t="s">
        <v>459</v>
      </c>
      <c r="E159" s="1"/>
      <c r="F159" s="1"/>
      <c r="G159" s="1"/>
      <c r="H159" s="1" t="s">
        <v>460</v>
      </c>
      <c r="I159" s="1" t="s">
        <v>460</v>
      </c>
      <c r="J159" s="1" t="s">
        <v>461</v>
      </c>
      <c r="K159" s="1" t="s">
        <v>462</v>
      </c>
      <c r="L159" s="1"/>
      <c r="M159" s="1" t="s">
        <v>463</v>
      </c>
      <c r="N159" s="1" t="s">
        <v>14</v>
      </c>
      <c r="O159" s="11"/>
      <c r="P159" s="43" t="s">
        <v>132</v>
      </c>
      <c r="Q159" s="10" t="s">
        <v>133</v>
      </c>
      <c r="R159" s="10" t="s">
        <v>115</v>
      </c>
      <c r="S159" s="10" t="s">
        <v>115</v>
      </c>
      <c r="T159" s="12" t="s">
        <v>116</v>
      </c>
    </row>
    <row r="160" spans="2:20" hidden="1" x14ac:dyDescent="0.35">
      <c r="B160" s="1" t="s">
        <v>216</v>
      </c>
      <c r="C160" s="1" t="s">
        <v>64</v>
      </c>
      <c r="D160" s="1" t="s">
        <v>457</v>
      </c>
      <c r="E160" s="1"/>
      <c r="F160" s="1"/>
      <c r="G160" s="1"/>
      <c r="H160" s="1"/>
      <c r="I160" s="1"/>
      <c r="J160" s="1"/>
      <c r="K160" s="1" t="s">
        <v>458</v>
      </c>
      <c r="L160" s="1"/>
      <c r="M160" s="1"/>
      <c r="N160" s="1" t="s">
        <v>217</v>
      </c>
      <c r="O160" s="11"/>
      <c r="P160" s="10" t="s">
        <v>218</v>
      </c>
      <c r="Q160" s="10" t="s">
        <v>114</v>
      </c>
      <c r="R160" s="10" t="s">
        <v>115</v>
      </c>
      <c r="S160" s="10" t="s">
        <v>115</v>
      </c>
      <c r="T160" s="12" t="s">
        <v>116</v>
      </c>
    </row>
    <row r="161" spans="2:20" hidden="1" x14ac:dyDescent="0.35">
      <c r="B161" s="1" t="s">
        <v>219</v>
      </c>
      <c r="C161" s="1" t="s">
        <v>64</v>
      </c>
      <c r="D161" s="1" t="s">
        <v>457</v>
      </c>
      <c r="E161" s="1"/>
      <c r="F161" s="1"/>
      <c r="G161" s="1"/>
      <c r="H161" s="1"/>
      <c r="I161" s="1"/>
      <c r="J161" s="1"/>
      <c r="K161" s="1" t="s">
        <v>458</v>
      </c>
      <c r="L161" s="1"/>
      <c r="M161" s="1"/>
      <c r="N161" s="1" t="s">
        <v>220</v>
      </c>
      <c r="O161" s="11"/>
      <c r="P161" s="10" t="s">
        <v>221</v>
      </c>
      <c r="Q161" s="10" t="s">
        <v>114</v>
      </c>
      <c r="R161" s="10" t="s">
        <v>115</v>
      </c>
      <c r="S161" s="10" t="s">
        <v>115</v>
      </c>
      <c r="T161" s="12" t="s">
        <v>116</v>
      </c>
    </row>
    <row r="162" spans="2:20" hidden="1" x14ac:dyDescent="0.35">
      <c r="B162" s="1" t="s">
        <v>222</v>
      </c>
      <c r="C162" s="1" t="s">
        <v>64</v>
      </c>
      <c r="D162" s="1" t="s">
        <v>459</v>
      </c>
      <c r="E162" s="1"/>
      <c r="F162" s="1"/>
      <c r="G162" s="1"/>
      <c r="H162" s="1" t="s">
        <v>460</v>
      </c>
      <c r="I162" s="1" t="s">
        <v>460</v>
      </c>
      <c r="J162" s="1" t="s">
        <v>461</v>
      </c>
      <c r="K162" s="1" t="s">
        <v>462</v>
      </c>
      <c r="L162" s="1"/>
      <c r="M162" s="1" t="s">
        <v>463</v>
      </c>
      <c r="N162" s="1" t="s">
        <v>65</v>
      </c>
      <c r="O162" s="11"/>
      <c r="P162" s="43" t="s">
        <v>132</v>
      </c>
      <c r="Q162" s="10" t="s">
        <v>133</v>
      </c>
      <c r="R162" s="10" t="s">
        <v>115</v>
      </c>
      <c r="S162" s="10" t="s">
        <v>115</v>
      </c>
      <c r="T162" s="12" t="s">
        <v>116</v>
      </c>
    </row>
    <row r="163" spans="2:20" hidden="1" x14ac:dyDescent="0.35">
      <c r="B163" s="1" t="s">
        <v>223</v>
      </c>
      <c r="C163" s="1" t="s">
        <v>64</v>
      </c>
      <c r="D163" s="1" t="s">
        <v>459</v>
      </c>
      <c r="E163" s="1"/>
      <c r="F163" s="1"/>
      <c r="G163" s="1"/>
      <c r="H163" s="1" t="s">
        <v>460</v>
      </c>
      <c r="I163" s="1" t="s">
        <v>460</v>
      </c>
      <c r="J163" s="1" t="s">
        <v>461</v>
      </c>
      <c r="K163" s="1" t="s">
        <v>462</v>
      </c>
      <c r="L163" s="1"/>
      <c r="M163" s="1" t="s">
        <v>463</v>
      </c>
      <c r="N163" s="1" t="s">
        <v>27</v>
      </c>
      <c r="O163" s="11"/>
      <c r="P163" s="43" t="s">
        <v>132</v>
      </c>
      <c r="Q163" s="10" t="s">
        <v>133</v>
      </c>
      <c r="R163" s="10" t="s">
        <v>115</v>
      </c>
      <c r="S163" s="10" t="s">
        <v>115</v>
      </c>
      <c r="T163" s="12" t="s">
        <v>116</v>
      </c>
    </row>
    <row r="164" spans="2:20" hidden="1" x14ac:dyDescent="0.35">
      <c r="B164" s="1" t="s">
        <v>224</v>
      </c>
      <c r="C164" s="1" t="s">
        <v>64</v>
      </c>
      <c r="D164" s="1" t="s">
        <v>457</v>
      </c>
      <c r="E164" s="1"/>
      <c r="F164" s="1"/>
      <c r="G164" s="1"/>
      <c r="H164" s="1"/>
      <c r="I164" s="1"/>
      <c r="J164" s="1"/>
      <c r="K164" s="1" t="s">
        <v>458</v>
      </c>
      <c r="L164" s="1"/>
      <c r="M164" s="1"/>
      <c r="N164" s="1" t="s">
        <v>10</v>
      </c>
      <c r="O164" s="11"/>
      <c r="P164" s="10"/>
      <c r="Q164" s="10" t="s">
        <v>114</v>
      </c>
      <c r="R164" s="10" t="s">
        <v>115</v>
      </c>
      <c r="S164" s="10" t="s">
        <v>115</v>
      </c>
      <c r="T164" s="12" t="s">
        <v>114</v>
      </c>
    </row>
    <row r="165" spans="2:20" hidden="1" x14ac:dyDescent="0.35">
      <c r="B165" s="1" t="s">
        <v>225</v>
      </c>
      <c r="C165" s="1" t="s">
        <v>64</v>
      </c>
      <c r="D165" s="1" t="s">
        <v>459</v>
      </c>
      <c r="E165" s="1"/>
      <c r="F165" s="1"/>
      <c r="G165" s="1"/>
      <c r="H165" s="1" t="s">
        <v>460</v>
      </c>
      <c r="I165" s="1" t="s">
        <v>460</v>
      </c>
      <c r="J165" s="1" t="s">
        <v>461</v>
      </c>
      <c r="K165" s="1" t="s">
        <v>462</v>
      </c>
      <c r="L165" s="1"/>
      <c r="M165" s="1" t="s">
        <v>463</v>
      </c>
      <c r="N165" s="1" t="s">
        <v>10</v>
      </c>
      <c r="O165" s="11"/>
      <c r="P165" s="43" t="s">
        <v>132</v>
      </c>
      <c r="Q165" s="10" t="s">
        <v>133</v>
      </c>
      <c r="R165" s="10" t="s">
        <v>115</v>
      </c>
      <c r="S165" s="10" t="s">
        <v>115</v>
      </c>
      <c r="T165" s="12" t="s">
        <v>116</v>
      </c>
    </row>
    <row r="166" spans="2:20" hidden="1" x14ac:dyDescent="0.35">
      <c r="B166" s="1" t="s">
        <v>226</v>
      </c>
      <c r="C166" s="1" t="s">
        <v>64</v>
      </c>
      <c r="D166" s="1" t="s">
        <v>459</v>
      </c>
      <c r="E166" s="1"/>
      <c r="F166" s="1"/>
      <c r="G166" s="1"/>
      <c r="H166" s="1" t="s">
        <v>460</v>
      </c>
      <c r="I166" s="1" t="s">
        <v>460</v>
      </c>
      <c r="J166" s="1" t="s">
        <v>461</v>
      </c>
      <c r="K166" s="1" t="s">
        <v>462</v>
      </c>
      <c r="L166" s="1"/>
      <c r="M166" s="1" t="s">
        <v>463</v>
      </c>
      <c r="N166" s="1" t="s">
        <v>14</v>
      </c>
      <c r="O166" s="11"/>
      <c r="P166" s="43" t="s">
        <v>132</v>
      </c>
      <c r="Q166" s="10" t="s">
        <v>133</v>
      </c>
      <c r="R166" s="10" t="s">
        <v>115</v>
      </c>
      <c r="S166" s="10" t="s">
        <v>115</v>
      </c>
      <c r="T166" s="12" t="s">
        <v>116</v>
      </c>
    </row>
    <row r="167" spans="2:20" hidden="1" x14ac:dyDescent="0.35">
      <c r="B167" s="1" t="s">
        <v>227</v>
      </c>
      <c r="C167" s="1" t="s">
        <v>64</v>
      </c>
      <c r="D167" s="1" t="s">
        <v>459</v>
      </c>
      <c r="E167" s="1"/>
      <c r="F167" s="1"/>
      <c r="G167" s="1"/>
      <c r="H167" s="1" t="s">
        <v>460</v>
      </c>
      <c r="I167" s="1" t="s">
        <v>460</v>
      </c>
      <c r="J167" s="1" t="s">
        <v>461</v>
      </c>
      <c r="K167" s="1" t="s">
        <v>462</v>
      </c>
      <c r="L167" s="1"/>
      <c r="M167" s="1" t="s">
        <v>463</v>
      </c>
      <c r="N167" s="1" t="s">
        <v>16</v>
      </c>
      <c r="O167" s="11"/>
      <c r="P167" s="43" t="s">
        <v>132</v>
      </c>
      <c r="Q167" s="10" t="s">
        <v>133</v>
      </c>
      <c r="R167" s="10" t="s">
        <v>115</v>
      </c>
      <c r="S167" s="10" t="s">
        <v>115</v>
      </c>
      <c r="T167" s="12" t="s">
        <v>116</v>
      </c>
    </row>
    <row r="168" spans="2:20" hidden="1" x14ac:dyDescent="0.35">
      <c r="B168" s="1" t="s">
        <v>228</v>
      </c>
      <c r="C168" s="1" t="s">
        <v>64</v>
      </c>
      <c r="D168" s="1" t="s">
        <v>457</v>
      </c>
      <c r="E168" s="1"/>
      <c r="F168" s="1"/>
      <c r="G168" s="1"/>
      <c r="H168" s="1"/>
      <c r="I168" s="1"/>
      <c r="J168" s="1"/>
      <c r="K168" s="1" t="s">
        <v>458</v>
      </c>
      <c r="L168" s="1"/>
      <c r="M168" s="1"/>
      <c r="N168" s="1" t="s">
        <v>14</v>
      </c>
      <c r="O168" s="11"/>
      <c r="P168" s="10" t="s">
        <v>229</v>
      </c>
      <c r="Q168" s="10" t="s">
        <v>114</v>
      </c>
      <c r="R168" s="10" t="s">
        <v>115</v>
      </c>
      <c r="S168" s="10" t="s">
        <v>115</v>
      </c>
      <c r="T168" s="12" t="s">
        <v>114</v>
      </c>
    </row>
    <row r="169" spans="2:20" hidden="1" x14ac:dyDescent="0.35">
      <c r="B169" s="1" t="s">
        <v>230</v>
      </c>
      <c r="C169" s="1" t="s">
        <v>64</v>
      </c>
      <c r="D169" s="1" t="s">
        <v>459</v>
      </c>
      <c r="E169" s="1" t="s">
        <v>457</v>
      </c>
      <c r="F169" s="1" t="s">
        <v>457</v>
      </c>
      <c r="G169" s="1" t="s">
        <v>464</v>
      </c>
      <c r="H169" s="1" t="s">
        <v>491</v>
      </c>
      <c r="I169" s="1" t="s">
        <v>492</v>
      </c>
      <c r="J169" s="1"/>
      <c r="K169" s="1" t="s">
        <v>458</v>
      </c>
      <c r="L169" s="1" t="s">
        <v>457</v>
      </c>
      <c r="M169" s="21" t="s">
        <v>493</v>
      </c>
      <c r="N169" s="1" t="s">
        <v>25</v>
      </c>
      <c r="O169" s="11"/>
      <c r="P169" s="10"/>
      <c r="Q169" s="10" t="s">
        <v>114</v>
      </c>
      <c r="R169" s="10" t="s">
        <v>115</v>
      </c>
      <c r="S169" s="10" t="s">
        <v>115</v>
      </c>
      <c r="T169" s="12" t="s">
        <v>231</v>
      </c>
    </row>
    <row r="170" spans="2:20" hidden="1" x14ac:dyDescent="0.35">
      <c r="B170" s="1" t="s">
        <v>232</v>
      </c>
      <c r="C170" s="1" t="s">
        <v>64</v>
      </c>
      <c r="D170" s="1" t="s">
        <v>459</v>
      </c>
      <c r="E170" s="1" t="s">
        <v>457</v>
      </c>
      <c r="F170" s="1" t="s">
        <v>457</v>
      </c>
      <c r="G170" s="1" t="s">
        <v>477</v>
      </c>
      <c r="H170" s="1" t="s">
        <v>494</v>
      </c>
      <c r="I170" s="1" t="s">
        <v>495</v>
      </c>
      <c r="J170" s="1"/>
      <c r="K170" s="1" t="s">
        <v>458</v>
      </c>
      <c r="L170" s="1" t="s">
        <v>457</v>
      </c>
      <c r="M170" s="21" t="s">
        <v>493</v>
      </c>
      <c r="N170" s="1" t="s">
        <v>10</v>
      </c>
      <c r="O170" s="11"/>
      <c r="P170" s="10" t="s">
        <v>233</v>
      </c>
      <c r="Q170" s="10" t="s">
        <v>114</v>
      </c>
      <c r="R170" s="10" t="s">
        <v>115</v>
      </c>
      <c r="S170" s="10" t="s">
        <v>115</v>
      </c>
      <c r="T170" s="12" t="s">
        <v>114</v>
      </c>
    </row>
    <row r="171" spans="2:20" hidden="1" x14ac:dyDescent="0.35">
      <c r="B171" s="1" t="s">
        <v>234</v>
      </c>
      <c r="C171" s="1" t="s">
        <v>64</v>
      </c>
      <c r="D171" s="1" t="s">
        <v>457</v>
      </c>
      <c r="E171" s="1"/>
      <c r="F171" s="1"/>
      <c r="G171" s="1"/>
      <c r="H171" s="1"/>
      <c r="I171" s="1"/>
      <c r="J171" s="1"/>
      <c r="K171" s="1" t="s">
        <v>458</v>
      </c>
      <c r="L171" s="1"/>
      <c r="M171" s="1"/>
      <c r="N171" s="1" t="s">
        <v>235</v>
      </c>
      <c r="O171" s="11"/>
      <c r="P171" s="10" t="s">
        <v>236</v>
      </c>
      <c r="Q171" s="10" t="s">
        <v>114</v>
      </c>
      <c r="R171" s="10"/>
      <c r="S171" s="10"/>
      <c r="T171" s="12" t="s">
        <v>114</v>
      </c>
    </row>
    <row r="172" spans="2:20" hidden="1" x14ac:dyDescent="0.35">
      <c r="B172" s="1" t="s">
        <v>237</v>
      </c>
      <c r="C172" s="1" t="s">
        <v>496</v>
      </c>
      <c r="D172" s="1" t="s">
        <v>459</v>
      </c>
      <c r="E172" s="1" t="s">
        <v>459</v>
      </c>
      <c r="F172" s="1" t="s">
        <v>457</v>
      </c>
      <c r="G172" s="1"/>
      <c r="H172" s="1"/>
      <c r="I172" s="1"/>
      <c r="J172" s="1"/>
      <c r="K172" s="1" t="s">
        <v>458</v>
      </c>
      <c r="L172" s="1" t="s">
        <v>457</v>
      </c>
      <c r="M172" s="21" t="s">
        <v>497</v>
      </c>
      <c r="N172" s="1" t="s">
        <v>10</v>
      </c>
      <c r="O172" s="11" t="s">
        <v>148</v>
      </c>
      <c r="P172" s="10" t="s">
        <v>238</v>
      </c>
      <c r="Q172" s="10" t="s">
        <v>114</v>
      </c>
      <c r="R172" s="10"/>
      <c r="S172" s="10"/>
      <c r="T172" s="12" t="s">
        <v>116</v>
      </c>
    </row>
    <row r="173" spans="2:20" hidden="1" x14ac:dyDescent="0.35">
      <c r="B173" s="1" t="s">
        <v>239</v>
      </c>
      <c r="C173" s="1" t="s">
        <v>496</v>
      </c>
      <c r="D173" s="1" t="s">
        <v>459</v>
      </c>
      <c r="E173" s="1" t="s">
        <v>459</v>
      </c>
      <c r="F173" s="1" t="s">
        <v>457</v>
      </c>
      <c r="G173" s="1"/>
      <c r="H173" s="1"/>
      <c r="I173" s="1"/>
      <c r="J173" s="1"/>
      <c r="K173" s="1" t="s">
        <v>458</v>
      </c>
      <c r="L173" s="1" t="s">
        <v>457</v>
      </c>
      <c r="M173" s="21" t="s">
        <v>497</v>
      </c>
      <c r="N173" s="1" t="s">
        <v>14</v>
      </c>
      <c r="O173" s="11" t="s">
        <v>148</v>
      </c>
      <c r="P173" s="10" t="s">
        <v>240</v>
      </c>
      <c r="Q173" s="10" t="s">
        <v>114</v>
      </c>
      <c r="R173" s="10"/>
      <c r="S173" s="10"/>
      <c r="T173" s="12" t="s">
        <v>116</v>
      </c>
    </row>
    <row r="174" spans="2:20" hidden="1" x14ac:dyDescent="0.35">
      <c r="B174" s="1" t="s">
        <v>241</v>
      </c>
      <c r="C174" s="1" t="s">
        <v>496</v>
      </c>
      <c r="D174" s="1" t="s">
        <v>459</v>
      </c>
      <c r="E174" s="1" t="s">
        <v>459</v>
      </c>
      <c r="F174" s="1" t="s">
        <v>457</v>
      </c>
      <c r="G174" s="1"/>
      <c r="H174" s="1"/>
      <c r="I174" s="1"/>
      <c r="J174" s="1"/>
      <c r="K174" s="1" t="s">
        <v>458</v>
      </c>
      <c r="L174" s="1" t="s">
        <v>457</v>
      </c>
      <c r="M174" s="21" t="s">
        <v>497</v>
      </c>
      <c r="N174" s="1" t="s">
        <v>16</v>
      </c>
      <c r="O174" s="11" t="s">
        <v>148</v>
      </c>
      <c r="P174" s="10" t="s">
        <v>242</v>
      </c>
      <c r="Q174" s="10" t="s">
        <v>114</v>
      </c>
      <c r="R174" s="10"/>
      <c r="S174" s="10"/>
      <c r="T174" s="12" t="s">
        <v>116</v>
      </c>
    </row>
    <row r="175" spans="2:20" hidden="1" x14ac:dyDescent="0.35">
      <c r="B175" s="1" t="s">
        <v>498</v>
      </c>
      <c r="C175" s="1" t="s">
        <v>496</v>
      </c>
      <c r="D175" s="1" t="s">
        <v>459</v>
      </c>
      <c r="E175" s="1" t="s">
        <v>459</v>
      </c>
      <c r="F175" s="1" t="s">
        <v>457</v>
      </c>
      <c r="G175" s="1"/>
      <c r="H175" s="41"/>
      <c r="I175" s="1"/>
      <c r="J175" s="1"/>
      <c r="K175" s="1" t="s">
        <v>458</v>
      </c>
      <c r="L175" s="1" t="s">
        <v>457</v>
      </c>
      <c r="M175" s="21" t="s">
        <v>499</v>
      </c>
      <c r="N175" s="1" t="s">
        <v>14</v>
      </c>
      <c r="O175" s="11" t="s">
        <v>4</v>
      </c>
      <c r="P175" s="10" t="s">
        <v>268</v>
      </c>
      <c r="Q175" s="10" t="s">
        <v>114</v>
      </c>
      <c r="R175" s="10"/>
      <c r="S175" s="10"/>
      <c r="T175" s="12" t="s">
        <v>116</v>
      </c>
    </row>
    <row r="176" spans="2:20" hidden="1" x14ac:dyDescent="0.35">
      <c r="B176" s="1" t="s">
        <v>500</v>
      </c>
      <c r="C176" s="1" t="s">
        <v>496</v>
      </c>
      <c r="D176" s="1" t="s">
        <v>459</v>
      </c>
      <c r="E176" s="1" t="s">
        <v>459</v>
      </c>
      <c r="F176" s="1" t="s">
        <v>457</v>
      </c>
      <c r="G176" s="1"/>
      <c r="H176" s="1"/>
      <c r="I176" s="1"/>
      <c r="J176" s="1"/>
      <c r="K176" s="1" t="s">
        <v>458</v>
      </c>
      <c r="L176" s="1" t="s">
        <v>457</v>
      </c>
      <c r="M176" s="21" t="s">
        <v>501</v>
      </c>
      <c r="N176" s="1" t="s">
        <v>220</v>
      </c>
      <c r="O176" s="11"/>
      <c r="P176" s="10" t="s">
        <v>502</v>
      </c>
      <c r="Q176" s="10" t="s">
        <v>114</v>
      </c>
      <c r="R176" s="10"/>
      <c r="S176" s="10"/>
      <c r="T176" s="12" t="s">
        <v>116</v>
      </c>
    </row>
    <row r="177" spans="2:20" hidden="1" x14ac:dyDescent="0.35">
      <c r="B177" s="1" t="s">
        <v>237</v>
      </c>
      <c r="C177" s="1" t="s">
        <v>72</v>
      </c>
      <c r="D177" s="1" t="s">
        <v>457</v>
      </c>
      <c r="E177" s="1"/>
      <c r="F177" s="1"/>
      <c r="G177" s="1"/>
      <c r="H177" s="1"/>
      <c r="I177" s="1"/>
      <c r="J177" s="1"/>
      <c r="K177" s="1" t="s">
        <v>458</v>
      </c>
      <c r="L177" s="1"/>
      <c r="M177" s="1"/>
      <c r="N177" s="1" t="s">
        <v>10</v>
      </c>
      <c r="O177" s="11" t="s">
        <v>4</v>
      </c>
      <c r="P177" s="10" t="s">
        <v>238</v>
      </c>
      <c r="Q177" s="10" t="s">
        <v>114</v>
      </c>
      <c r="R177" s="10" t="s">
        <v>115</v>
      </c>
      <c r="S177" s="10" t="s">
        <v>115</v>
      </c>
      <c r="T177" s="12" t="s">
        <v>116</v>
      </c>
    </row>
    <row r="178" spans="2:20" hidden="1" x14ac:dyDescent="0.35">
      <c r="B178" s="1" t="s">
        <v>239</v>
      </c>
      <c r="C178" s="1" t="s">
        <v>72</v>
      </c>
      <c r="D178" s="1" t="s">
        <v>457</v>
      </c>
      <c r="E178" s="1"/>
      <c r="F178" s="1"/>
      <c r="G178" s="1"/>
      <c r="H178" s="1"/>
      <c r="I178" s="1"/>
      <c r="J178" s="1"/>
      <c r="K178" s="1" t="s">
        <v>458</v>
      </c>
      <c r="L178" s="1"/>
      <c r="M178" s="1"/>
      <c r="N178" s="1" t="s">
        <v>14</v>
      </c>
      <c r="O178" s="11" t="s">
        <v>4</v>
      </c>
      <c r="P178" s="10" t="s">
        <v>240</v>
      </c>
      <c r="Q178" s="10" t="s">
        <v>114</v>
      </c>
      <c r="R178" s="10" t="s">
        <v>115</v>
      </c>
      <c r="S178" s="10" t="s">
        <v>115</v>
      </c>
      <c r="T178" s="12" t="s">
        <v>116</v>
      </c>
    </row>
    <row r="179" spans="2:20" hidden="1" x14ac:dyDescent="0.35">
      <c r="B179" s="1" t="s">
        <v>241</v>
      </c>
      <c r="C179" s="1" t="s">
        <v>72</v>
      </c>
      <c r="D179" s="1" t="s">
        <v>457</v>
      </c>
      <c r="E179" s="1"/>
      <c r="F179" s="1"/>
      <c r="G179" s="1"/>
      <c r="H179" s="1"/>
      <c r="I179" s="1"/>
      <c r="J179" s="1"/>
      <c r="K179" s="1" t="s">
        <v>458</v>
      </c>
      <c r="L179" s="1"/>
      <c r="M179" s="1"/>
      <c r="N179" s="1" t="s">
        <v>16</v>
      </c>
      <c r="O179" s="11" t="s">
        <v>4</v>
      </c>
      <c r="P179" s="10" t="s">
        <v>242</v>
      </c>
      <c r="Q179" s="10" t="s">
        <v>114</v>
      </c>
      <c r="R179" s="10" t="s">
        <v>115</v>
      </c>
      <c r="S179" s="10" t="s">
        <v>115</v>
      </c>
      <c r="T179" s="12" t="s">
        <v>116</v>
      </c>
    </row>
    <row r="180" spans="2:20" hidden="1" x14ac:dyDescent="0.35">
      <c r="B180" s="1" t="s">
        <v>203</v>
      </c>
      <c r="C180" s="1" t="s">
        <v>72</v>
      </c>
      <c r="D180" s="1" t="s">
        <v>457</v>
      </c>
      <c r="E180" s="1"/>
      <c r="F180" s="1"/>
      <c r="G180" s="1"/>
      <c r="H180" s="1"/>
      <c r="I180" s="1"/>
      <c r="J180" s="1"/>
      <c r="K180" s="1" t="s">
        <v>458</v>
      </c>
      <c r="L180" s="1"/>
      <c r="M180" s="1"/>
      <c r="N180" s="1" t="s">
        <v>10</v>
      </c>
      <c r="O180" s="11" t="s">
        <v>192</v>
      </c>
      <c r="P180" s="10" t="s">
        <v>204</v>
      </c>
      <c r="Q180" s="10" t="s">
        <v>114</v>
      </c>
      <c r="R180" s="10" t="s">
        <v>115</v>
      </c>
      <c r="S180" s="10" t="s">
        <v>115</v>
      </c>
      <c r="T180" s="12" t="s">
        <v>116</v>
      </c>
    </row>
    <row r="181" spans="2:20" hidden="1" x14ac:dyDescent="0.35">
      <c r="B181" s="1" t="s">
        <v>205</v>
      </c>
      <c r="C181" s="1" t="s">
        <v>72</v>
      </c>
      <c r="D181" s="1" t="s">
        <v>457</v>
      </c>
      <c r="E181" s="1"/>
      <c r="F181" s="1"/>
      <c r="G181" s="1"/>
      <c r="H181" s="1"/>
      <c r="I181" s="1"/>
      <c r="J181" s="1"/>
      <c r="K181" s="1" t="s">
        <v>458</v>
      </c>
      <c r="L181" s="1"/>
      <c r="M181" s="1"/>
      <c r="N181" s="1" t="s">
        <v>14</v>
      </c>
      <c r="O181" s="11" t="s">
        <v>192</v>
      </c>
      <c r="P181" s="10" t="s">
        <v>206</v>
      </c>
      <c r="Q181" s="10" t="s">
        <v>114</v>
      </c>
      <c r="R181" s="10" t="s">
        <v>115</v>
      </c>
      <c r="S181" s="10" t="s">
        <v>115</v>
      </c>
      <c r="T181" s="12" t="s">
        <v>116</v>
      </c>
    </row>
    <row r="182" spans="2:20" hidden="1" x14ac:dyDescent="0.35">
      <c r="B182" s="1" t="s">
        <v>207</v>
      </c>
      <c r="C182" s="1" t="s">
        <v>72</v>
      </c>
      <c r="D182" s="1" t="s">
        <v>457</v>
      </c>
      <c r="E182" s="1"/>
      <c r="F182" s="1"/>
      <c r="G182" s="1"/>
      <c r="H182" s="1"/>
      <c r="I182" s="1"/>
      <c r="J182" s="1"/>
      <c r="K182" s="1" t="s">
        <v>458</v>
      </c>
      <c r="L182" s="1"/>
      <c r="M182" s="1"/>
      <c r="N182" s="1" t="s">
        <v>16</v>
      </c>
      <c r="O182" s="11" t="s">
        <v>192</v>
      </c>
      <c r="P182" s="10" t="s">
        <v>208</v>
      </c>
      <c r="Q182" s="10" t="s">
        <v>114</v>
      </c>
      <c r="R182" s="10" t="s">
        <v>115</v>
      </c>
      <c r="S182" s="10" t="s">
        <v>115</v>
      </c>
      <c r="T182" s="12" t="s">
        <v>116</v>
      </c>
    </row>
    <row r="183" spans="2:20" hidden="1" x14ac:dyDescent="0.35">
      <c r="B183" s="1" t="s">
        <v>243</v>
      </c>
      <c r="C183" s="1" t="s">
        <v>72</v>
      </c>
      <c r="D183" s="1" t="s">
        <v>457</v>
      </c>
      <c r="E183" s="1"/>
      <c r="F183" s="1"/>
      <c r="G183" s="1"/>
      <c r="H183" s="1"/>
      <c r="I183" s="1"/>
      <c r="J183" s="1"/>
      <c r="K183" s="1" t="s">
        <v>458</v>
      </c>
      <c r="L183" s="1"/>
      <c r="M183" s="1"/>
      <c r="N183" s="1" t="s">
        <v>220</v>
      </c>
      <c r="O183" s="11"/>
      <c r="P183" s="10" t="s">
        <v>244</v>
      </c>
      <c r="Q183" s="10" t="s">
        <v>114</v>
      </c>
      <c r="R183" s="10" t="s">
        <v>115</v>
      </c>
      <c r="S183" s="10" t="s">
        <v>115</v>
      </c>
      <c r="T183" s="12" t="s">
        <v>116</v>
      </c>
    </row>
    <row r="184" spans="2:20" hidden="1" x14ac:dyDescent="0.35">
      <c r="B184" s="1" t="s">
        <v>245</v>
      </c>
      <c r="C184" s="1" t="s">
        <v>72</v>
      </c>
      <c r="D184" s="1" t="s">
        <v>457</v>
      </c>
      <c r="E184" s="1"/>
      <c r="F184" s="1"/>
      <c r="G184" s="1"/>
      <c r="H184" s="1"/>
      <c r="I184" s="1"/>
      <c r="J184" s="1"/>
      <c r="K184" s="1" t="s">
        <v>458</v>
      </c>
      <c r="L184" s="1"/>
      <c r="M184" s="1"/>
      <c r="N184" s="1" t="s">
        <v>33</v>
      </c>
      <c r="O184" s="11"/>
      <c r="P184" s="10" t="s">
        <v>246</v>
      </c>
      <c r="Q184" s="10" t="s">
        <v>114</v>
      </c>
      <c r="R184" s="10" t="s">
        <v>115</v>
      </c>
      <c r="S184" s="10" t="s">
        <v>115</v>
      </c>
      <c r="T184" s="12" t="s">
        <v>116</v>
      </c>
    </row>
    <row r="185" spans="2:20" hidden="1" x14ac:dyDescent="0.35">
      <c r="B185" s="1" t="s">
        <v>247</v>
      </c>
      <c r="C185" s="1" t="s">
        <v>72</v>
      </c>
      <c r="D185" s="1" t="s">
        <v>457</v>
      </c>
      <c r="E185" s="1"/>
      <c r="F185" s="1"/>
      <c r="G185" s="1"/>
      <c r="H185" s="1"/>
      <c r="I185" s="1"/>
      <c r="J185" s="1"/>
      <c r="K185" s="1" t="s">
        <v>458</v>
      </c>
      <c r="L185" s="1"/>
      <c r="M185" s="1"/>
      <c r="N185" s="1" t="s">
        <v>33</v>
      </c>
      <c r="O185" s="11"/>
      <c r="P185" s="10" t="s">
        <v>248</v>
      </c>
      <c r="Q185" s="10" t="s">
        <v>114</v>
      </c>
      <c r="R185" s="10" t="s">
        <v>115</v>
      </c>
      <c r="S185" s="10" t="s">
        <v>115</v>
      </c>
      <c r="T185" s="12" t="s">
        <v>116</v>
      </c>
    </row>
    <row r="186" spans="2:20" hidden="1" x14ac:dyDescent="0.35">
      <c r="B186" s="1" t="s">
        <v>249</v>
      </c>
      <c r="C186" s="1" t="s">
        <v>72</v>
      </c>
      <c r="D186" s="1" t="s">
        <v>457</v>
      </c>
      <c r="E186" s="1"/>
      <c r="F186" s="1"/>
      <c r="G186" s="1"/>
      <c r="H186" s="1"/>
      <c r="I186" s="1"/>
      <c r="J186" s="1"/>
      <c r="K186" s="1" t="s">
        <v>458</v>
      </c>
      <c r="L186" s="1"/>
      <c r="M186" s="1"/>
      <c r="N186" s="1" t="s">
        <v>27</v>
      </c>
      <c r="O186" s="11"/>
      <c r="P186" s="10" t="s">
        <v>250</v>
      </c>
      <c r="Q186" s="10" t="s">
        <v>114</v>
      </c>
      <c r="R186" s="10" t="s">
        <v>115</v>
      </c>
      <c r="S186" s="10" t="s">
        <v>115</v>
      </c>
      <c r="T186" s="12" t="s">
        <v>114</v>
      </c>
    </row>
    <row r="187" spans="2:20" hidden="1" x14ac:dyDescent="0.35">
      <c r="B187" s="1" t="s">
        <v>251</v>
      </c>
      <c r="C187" s="1" t="s">
        <v>72</v>
      </c>
      <c r="D187" s="1" t="s">
        <v>457</v>
      </c>
      <c r="E187" s="1"/>
      <c r="F187" s="1"/>
      <c r="G187" s="1"/>
      <c r="H187" s="1"/>
      <c r="I187" s="1"/>
      <c r="J187" s="1"/>
      <c r="K187" s="1" t="s">
        <v>458</v>
      </c>
      <c r="L187" s="1"/>
      <c r="M187" s="1"/>
      <c r="N187" s="1" t="s">
        <v>235</v>
      </c>
      <c r="O187" s="11"/>
      <c r="P187" s="10" t="s">
        <v>252</v>
      </c>
      <c r="Q187" s="10" t="s">
        <v>114</v>
      </c>
      <c r="R187" s="10" t="s">
        <v>115</v>
      </c>
      <c r="S187" s="10" t="s">
        <v>115</v>
      </c>
      <c r="T187" s="12" t="s">
        <v>114</v>
      </c>
    </row>
    <row r="188" spans="2:20" hidden="1" x14ac:dyDescent="0.35">
      <c r="B188" s="1" t="s">
        <v>253</v>
      </c>
      <c r="C188" s="1" t="s">
        <v>72</v>
      </c>
      <c r="D188" s="1" t="s">
        <v>457</v>
      </c>
      <c r="E188" s="1"/>
      <c r="F188" s="1"/>
      <c r="G188" s="1"/>
      <c r="H188" s="1"/>
      <c r="I188" s="1"/>
      <c r="J188" s="1"/>
      <c r="K188" s="1" t="s">
        <v>458</v>
      </c>
      <c r="L188" s="1"/>
      <c r="M188" s="1"/>
      <c r="N188" s="1" t="s">
        <v>14</v>
      </c>
      <c r="O188" s="11"/>
      <c r="P188" s="10" t="s">
        <v>254</v>
      </c>
      <c r="Q188" s="10" t="s">
        <v>114</v>
      </c>
      <c r="R188" s="10" t="s">
        <v>115</v>
      </c>
      <c r="S188" s="10" t="s">
        <v>115</v>
      </c>
      <c r="T188" s="12" t="s">
        <v>114</v>
      </c>
    </row>
    <row r="189" spans="2:20" hidden="1" x14ac:dyDescent="0.35">
      <c r="B189" s="1" t="s">
        <v>255</v>
      </c>
      <c r="C189" s="1" t="s">
        <v>72</v>
      </c>
      <c r="D189" s="1" t="s">
        <v>459</v>
      </c>
      <c r="E189" s="1"/>
      <c r="F189" s="1"/>
      <c r="G189" s="1"/>
      <c r="H189" s="1" t="s">
        <v>460</v>
      </c>
      <c r="I189" s="1" t="s">
        <v>460</v>
      </c>
      <c r="J189" s="1" t="s">
        <v>461</v>
      </c>
      <c r="K189" s="1" t="s">
        <v>462</v>
      </c>
      <c r="L189" s="1"/>
      <c r="M189" s="1" t="s">
        <v>463</v>
      </c>
      <c r="N189" s="1" t="s">
        <v>10</v>
      </c>
      <c r="O189" s="11"/>
      <c r="P189" s="43" t="s">
        <v>132</v>
      </c>
      <c r="Q189" s="10" t="s">
        <v>133</v>
      </c>
      <c r="R189" s="10" t="s">
        <v>115</v>
      </c>
      <c r="S189" s="10" t="s">
        <v>115</v>
      </c>
      <c r="T189" s="12" t="s">
        <v>116</v>
      </c>
    </row>
    <row r="190" spans="2:20" hidden="1" x14ac:dyDescent="0.35">
      <c r="B190" s="1" t="s">
        <v>256</v>
      </c>
      <c r="C190" s="1" t="s">
        <v>72</v>
      </c>
      <c r="D190" s="1" t="s">
        <v>459</v>
      </c>
      <c r="E190" s="1"/>
      <c r="F190" s="1"/>
      <c r="G190" s="1"/>
      <c r="H190" s="1" t="s">
        <v>460</v>
      </c>
      <c r="I190" s="1" t="s">
        <v>460</v>
      </c>
      <c r="J190" s="1" t="s">
        <v>461</v>
      </c>
      <c r="K190" s="1" t="s">
        <v>462</v>
      </c>
      <c r="L190" s="1"/>
      <c r="M190" s="1" t="s">
        <v>463</v>
      </c>
      <c r="N190" s="1" t="s">
        <v>14</v>
      </c>
      <c r="O190" s="11"/>
      <c r="P190" s="43" t="s">
        <v>132</v>
      </c>
      <c r="Q190" s="10" t="s">
        <v>133</v>
      </c>
      <c r="R190" s="10" t="s">
        <v>115</v>
      </c>
      <c r="S190" s="10" t="s">
        <v>115</v>
      </c>
      <c r="T190" s="12" t="s">
        <v>116</v>
      </c>
    </row>
    <row r="191" spans="2:20" hidden="1" x14ac:dyDescent="0.35">
      <c r="B191" s="1" t="s">
        <v>257</v>
      </c>
      <c r="C191" s="1" t="s">
        <v>72</v>
      </c>
      <c r="D191" s="1" t="s">
        <v>459</v>
      </c>
      <c r="E191" s="1"/>
      <c r="F191" s="1"/>
      <c r="G191" s="1"/>
      <c r="H191" s="1" t="s">
        <v>460</v>
      </c>
      <c r="I191" s="1" t="s">
        <v>460</v>
      </c>
      <c r="J191" s="1" t="s">
        <v>461</v>
      </c>
      <c r="K191" s="1" t="s">
        <v>462</v>
      </c>
      <c r="L191" s="1"/>
      <c r="M191" s="1" t="s">
        <v>463</v>
      </c>
      <c r="N191" s="1" t="s">
        <v>16</v>
      </c>
      <c r="O191" s="11"/>
      <c r="P191" s="43" t="s">
        <v>132</v>
      </c>
      <c r="Q191" s="10" t="s">
        <v>133</v>
      </c>
      <c r="R191" s="10" t="s">
        <v>115</v>
      </c>
      <c r="S191" s="10" t="s">
        <v>115</v>
      </c>
      <c r="T191" s="12" t="s">
        <v>116</v>
      </c>
    </row>
    <row r="192" spans="2:20" hidden="1" x14ac:dyDescent="0.35">
      <c r="B192" s="1" t="s">
        <v>258</v>
      </c>
      <c r="C192" s="1" t="s">
        <v>72</v>
      </c>
      <c r="D192" s="1" t="s">
        <v>457</v>
      </c>
      <c r="E192" s="1"/>
      <c r="F192" s="1"/>
      <c r="G192" s="1"/>
      <c r="H192" s="1"/>
      <c r="I192" s="1"/>
      <c r="J192" s="1"/>
      <c r="K192" s="1" t="s">
        <v>458</v>
      </c>
      <c r="L192" s="1"/>
      <c r="M192" s="1"/>
      <c r="N192" s="1" t="s">
        <v>25</v>
      </c>
      <c r="O192" s="11"/>
      <c r="P192" s="10" t="s">
        <v>259</v>
      </c>
      <c r="Q192" s="10" t="s">
        <v>114</v>
      </c>
      <c r="R192" s="10" t="s">
        <v>115</v>
      </c>
      <c r="S192" s="10" t="s">
        <v>115</v>
      </c>
      <c r="T192" s="12" t="s">
        <v>231</v>
      </c>
    </row>
    <row r="193" spans="1:20" hidden="1" x14ac:dyDescent="0.35">
      <c r="B193" s="1" t="s">
        <v>260</v>
      </c>
      <c r="C193" s="1" t="s">
        <v>72</v>
      </c>
      <c r="D193" s="1" t="s">
        <v>459</v>
      </c>
      <c r="E193" s="1"/>
      <c r="F193" s="1"/>
      <c r="G193" s="1"/>
      <c r="H193" s="1" t="s">
        <v>460</v>
      </c>
      <c r="I193" s="1" t="s">
        <v>460</v>
      </c>
      <c r="J193" s="1" t="s">
        <v>461</v>
      </c>
      <c r="K193" s="1" t="s">
        <v>462</v>
      </c>
      <c r="L193" s="1"/>
      <c r="M193" s="1" t="s">
        <v>463</v>
      </c>
      <c r="N193" s="1" t="s">
        <v>65</v>
      </c>
      <c r="O193" s="11"/>
      <c r="P193" s="43" t="s">
        <v>132</v>
      </c>
      <c r="Q193" s="10" t="s">
        <v>133</v>
      </c>
      <c r="R193" s="10" t="s">
        <v>115</v>
      </c>
      <c r="S193" s="10" t="s">
        <v>115</v>
      </c>
      <c r="T193" s="12" t="s">
        <v>116</v>
      </c>
    </row>
    <row r="194" spans="1:20" hidden="1" x14ac:dyDescent="0.35">
      <c r="B194" s="1" t="s">
        <v>261</v>
      </c>
      <c r="C194" s="1" t="s">
        <v>72</v>
      </c>
      <c r="D194" s="1" t="s">
        <v>459</v>
      </c>
      <c r="E194" s="1"/>
      <c r="F194" s="1"/>
      <c r="G194" s="1"/>
      <c r="H194" s="1" t="s">
        <v>460</v>
      </c>
      <c r="I194" s="1" t="s">
        <v>460</v>
      </c>
      <c r="J194" s="1" t="s">
        <v>461</v>
      </c>
      <c r="K194" s="1" t="s">
        <v>462</v>
      </c>
      <c r="L194" s="1"/>
      <c r="M194" s="1" t="s">
        <v>463</v>
      </c>
      <c r="N194" s="1" t="s">
        <v>27</v>
      </c>
      <c r="O194" s="11"/>
      <c r="P194" s="43" t="s">
        <v>132</v>
      </c>
      <c r="Q194" s="10" t="s">
        <v>133</v>
      </c>
      <c r="R194" s="10" t="s">
        <v>115</v>
      </c>
      <c r="S194" s="10" t="s">
        <v>115</v>
      </c>
      <c r="T194" s="12" t="s">
        <v>116</v>
      </c>
    </row>
    <row r="195" spans="1:20" hidden="1" x14ac:dyDescent="0.35">
      <c r="B195" s="1" t="s">
        <v>262</v>
      </c>
      <c r="C195" s="1" t="s">
        <v>72</v>
      </c>
      <c r="D195" s="1" t="s">
        <v>459</v>
      </c>
      <c r="E195" s="1"/>
      <c r="F195" s="1"/>
      <c r="G195" s="1"/>
      <c r="H195" s="1" t="s">
        <v>460</v>
      </c>
      <c r="I195" s="1" t="s">
        <v>460</v>
      </c>
      <c r="J195" s="1" t="s">
        <v>461</v>
      </c>
      <c r="K195" s="1" t="s">
        <v>462</v>
      </c>
      <c r="L195" s="1"/>
      <c r="M195" s="1" t="s">
        <v>463</v>
      </c>
      <c r="N195" s="1" t="s">
        <v>65</v>
      </c>
      <c r="O195" s="11"/>
      <c r="P195" s="43" t="s">
        <v>132</v>
      </c>
      <c r="Q195" s="10" t="s">
        <v>133</v>
      </c>
      <c r="R195" s="10" t="s">
        <v>115</v>
      </c>
      <c r="S195" s="10" t="s">
        <v>115</v>
      </c>
      <c r="T195" s="12" t="s">
        <v>116</v>
      </c>
    </row>
    <row r="196" spans="1:20" hidden="1" x14ac:dyDescent="0.35">
      <c r="B196" s="1" t="s">
        <v>263</v>
      </c>
      <c r="C196" s="1" t="s">
        <v>72</v>
      </c>
      <c r="D196" s="1" t="s">
        <v>457</v>
      </c>
      <c r="E196" s="1"/>
      <c r="F196" s="1"/>
      <c r="G196" s="1"/>
      <c r="H196" s="1"/>
      <c r="I196" s="1"/>
      <c r="J196" s="1"/>
      <c r="K196" s="1" t="s">
        <v>458</v>
      </c>
      <c r="L196" s="1"/>
      <c r="M196" s="1"/>
      <c r="N196" s="1" t="s">
        <v>10</v>
      </c>
      <c r="O196" s="11"/>
      <c r="P196" s="10"/>
      <c r="Q196" s="10" t="s">
        <v>114</v>
      </c>
      <c r="R196" s="10" t="s">
        <v>115</v>
      </c>
      <c r="S196" s="10" t="s">
        <v>115</v>
      </c>
      <c r="T196" s="12" t="s">
        <v>114</v>
      </c>
    </row>
    <row r="197" spans="1:20" hidden="1" x14ac:dyDescent="0.35">
      <c r="B197" s="1" t="s">
        <v>264</v>
      </c>
      <c r="C197" s="1" t="s">
        <v>72</v>
      </c>
      <c r="D197" s="1" t="s">
        <v>457</v>
      </c>
      <c r="E197" s="1"/>
      <c r="F197" s="1"/>
      <c r="G197" s="1"/>
      <c r="H197" s="1"/>
      <c r="I197" s="1"/>
      <c r="J197" s="1"/>
      <c r="K197" s="1" t="s">
        <v>458</v>
      </c>
      <c r="L197" s="1"/>
      <c r="M197" s="1"/>
      <c r="N197" s="1" t="s">
        <v>217</v>
      </c>
      <c r="O197" s="11"/>
      <c r="P197" s="10" t="s">
        <v>265</v>
      </c>
      <c r="Q197" s="10" t="s">
        <v>114</v>
      </c>
      <c r="R197" s="10" t="s">
        <v>115</v>
      </c>
      <c r="S197" s="10" t="s">
        <v>115</v>
      </c>
      <c r="T197" s="12" t="s">
        <v>116</v>
      </c>
    </row>
    <row r="198" spans="1:20" hidden="1" x14ac:dyDescent="0.35">
      <c r="B198" s="1" t="s">
        <v>266</v>
      </c>
      <c r="C198" s="1" t="s">
        <v>72</v>
      </c>
      <c r="D198" s="1" t="s">
        <v>459</v>
      </c>
      <c r="E198" s="1" t="s">
        <v>457</v>
      </c>
      <c r="F198" s="1" t="s">
        <v>459</v>
      </c>
      <c r="G198" s="1" t="s">
        <v>503</v>
      </c>
      <c r="H198" s="1" t="s">
        <v>504</v>
      </c>
      <c r="I198" s="1" t="s">
        <v>505</v>
      </c>
      <c r="J198" s="1"/>
      <c r="K198" s="1" t="s">
        <v>458</v>
      </c>
      <c r="L198" s="1" t="s">
        <v>457</v>
      </c>
      <c r="M198" s="21" t="s">
        <v>506</v>
      </c>
      <c r="N198" s="1" t="s">
        <v>68</v>
      </c>
      <c r="O198" s="11"/>
      <c r="P198" s="10"/>
      <c r="Q198" s="10" t="s">
        <v>114</v>
      </c>
      <c r="R198" s="10" t="s">
        <v>115</v>
      </c>
      <c r="S198" s="10" t="s">
        <v>115</v>
      </c>
      <c r="T198" s="12" t="s">
        <v>114</v>
      </c>
    </row>
    <row r="199" spans="1:20" hidden="1" x14ac:dyDescent="0.35">
      <c r="B199" s="1" t="s">
        <v>267</v>
      </c>
      <c r="C199" s="1" t="s">
        <v>72</v>
      </c>
      <c r="D199" s="1" t="s">
        <v>457</v>
      </c>
      <c r="E199" s="1"/>
      <c r="F199" s="1"/>
      <c r="G199" s="1"/>
      <c r="H199" s="1"/>
      <c r="I199" s="1"/>
      <c r="J199" s="1"/>
      <c r="K199" s="1" t="s">
        <v>458</v>
      </c>
      <c r="L199" s="1"/>
      <c r="M199" s="1"/>
      <c r="N199" s="1" t="s">
        <v>14</v>
      </c>
      <c r="O199" s="11"/>
      <c r="P199" s="10" t="s">
        <v>268</v>
      </c>
      <c r="Q199" s="10" t="s">
        <v>114</v>
      </c>
      <c r="R199" s="10" t="s">
        <v>115</v>
      </c>
      <c r="S199" s="10" t="s">
        <v>115</v>
      </c>
      <c r="T199" s="12" t="s">
        <v>114</v>
      </c>
    </row>
    <row r="200" spans="1:20" hidden="1" x14ac:dyDescent="0.35">
      <c r="B200" s="1" t="s">
        <v>269</v>
      </c>
      <c r="C200" s="1" t="s">
        <v>72</v>
      </c>
      <c r="D200" s="1" t="s">
        <v>459</v>
      </c>
      <c r="E200" s="1"/>
      <c r="F200" s="1"/>
      <c r="G200" s="1"/>
      <c r="H200" s="1" t="s">
        <v>460</v>
      </c>
      <c r="I200" s="1" t="s">
        <v>460</v>
      </c>
      <c r="J200" s="1" t="s">
        <v>461</v>
      </c>
      <c r="K200" s="1" t="s">
        <v>462</v>
      </c>
      <c r="L200" s="1"/>
      <c r="M200" s="1" t="s">
        <v>463</v>
      </c>
      <c r="N200" s="1" t="s">
        <v>10</v>
      </c>
      <c r="O200" s="11"/>
      <c r="P200" s="43" t="s">
        <v>132</v>
      </c>
      <c r="Q200" s="10" t="s">
        <v>133</v>
      </c>
      <c r="R200" s="10" t="s">
        <v>115</v>
      </c>
      <c r="S200" s="10" t="s">
        <v>115</v>
      </c>
      <c r="T200" s="12" t="s">
        <v>116</v>
      </c>
    </row>
    <row r="201" spans="1:20" hidden="1" x14ac:dyDescent="0.35">
      <c r="B201" s="1" t="s">
        <v>270</v>
      </c>
      <c r="C201" s="1" t="s">
        <v>72</v>
      </c>
      <c r="D201" s="1" t="s">
        <v>459</v>
      </c>
      <c r="E201" s="1"/>
      <c r="F201" s="1"/>
      <c r="G201" s="1"/>
      <c r="H201" s="1" t="s">
        <v>460</v>
      </c>
      <c r="I201" s="1" t="s">
        <v>460</v>
      </c>
      <c r="J201" s="1" t="s">
        <v>461</v>
      </c>
      <c r="K201" s="1" t="s">
        <v>462</v>
      </c>
      <c r="L201" s="1"/>
      <c r="M201" s="1" t="s">
        <v>463</v>
      </c>
      <c r="N201" s="1" t="s">
        <v>14</v>
      </c>
      <c r="O201" s="11"/>
      <c r="P201" s="43" t="s">
        <v>132</v>
      </c>
      <c r="Q201" s="10" t="s">
        <v>133</v>
      </c>
      <c r="R201" s="10" t="s">
        <v>115</v>
      </c>
      <c r="S201" s="10" t="s">
        <v>115</v>
      </c>
      <c r="T201" s="12" t="s">
        <v>116</v>
      </c>
    </row>
    <row r="202" spans="1:20" hidden="1" x14ac:dyDescent="0.35">
      <c r="B202" s="1" t="s">
        <v>271</v>
      </c>
      <c r="C202" s="1" t="s">
        <v>72</v>
      </c>
      <c r="D202" s="1" t="s">
        <v>459</v>
      </c>
      <c r="E202" s="1"/>
      <c r="F202" s="1"/>
      <c r="G202" s="1"/>
      <c r="H202" s="1" t="s">
        <v>460</v>
      </c>
      <c r="I202" s="1" t="s">
        <v>460</v>
      </c>
      <c r="J202" s="1" t="s">
        <v>461</v>
      </c>
      <c r="K202" s="1" t="s">
        <v>462</v>
      </c>
      <c r="L202" s="1"/>
      <c r="M202" s="1" t="s">
        <v>463</v>
      </c>
      <c r="N202" s="1" t="s">
        <v>16</v>
      </c>
      <c r="O202" s="11"/>
      <c r="P202" s="43" t="s">
        <v>132</v>
      </c>
      <c r="Q202" s="10" t="s">
        <v>133</v>
      </c>
      <c r="R202" s="10" t="s">
        <v>115</v>
      </c>
      <c r="S202" s="10" t="s">
        <v>115</v>
      </c>
      <c r="T202" s="12" t="s">
        <v>116</v>
      </c>
    </row>
    <row r="203" spans="1:20" hidden="1" x14ac:dyDescent="0.35">
      <c r="B203" s="1" t="s">
        <v>272</v>
      </c>
      <c r="C203" s="1" t="s">
        <v>72</v>
      </c>
      <c r="D203" s="1" t="s">
        <v>459</v>
      </c>
      <c r="E203" s="1" t="s">
        <v>457</v>
      </c>
      <c r="F203" s="1" t="s">
        <v>457</v>
      </c>
      <c r="G203" s="1" t="s">
        <v>477</v>
      </c>
      <c r="H203" s="1" t="s">
        <v>494</v>
      </c>
      <c r="I203" s="1" t="s">
        <v>495</v>
      </c>
      <c r="J203" s="1"/>
      <c r="K203" s="1" t="s">
        <v>458</v>
      </c>
      <c r="L203" s="1" t="s">
        <v>457</v>
      </c>
      <c r="M203" s="21" t="s">
        <v>507</v>
      </c>
      <c r="N203" s="1" t="s">
        <v>10</v>
      </c>
      <c r="O203" s="11"/>
      <c r="P203" s="10" t="s">
        <v>273</v>
      </c>
      <c r="Q203" s="10" t="s">
        <v>114</v>
      </c>
      <c r="R203" s="10" t="s">
        <v>115</v>
      </c>
      <c r="S203" s="10" t="s">
        <v>115</v>
      </c>
      <c r="T203" s="12" t="s">
        <v>114</v>
      </c>
    </row>
    <row r="204" spans="1:20" s="82" customFormat="1" hidden="1" x14ac:dyDescent="0.35">
      <c r="A204" s="59" t="s">
        <v>77</v>
      </c>
      <c r="B204" s="83" t="s">
        <v>81</v>
      </c>
      <c r="C204" s="83" t="s">
        <v>72</v>
      </c>
      <c r="D204" s="83" t="s">
        <v>459</v>
      </c>
      <c r="E204" s="83" t="s">
        <v>459</v>
      </c>
      <c r="F204" s="83" t="s">
        <v>457</v>
      </c>
      <c r="G204" s="83"/>
      <c r="H204" s="83"/>
      <c r="I204" s="84"/>
      <c r="J204" s="1" t="s">
        <v>508</v>
      </c>
      <c r="K204" s="83" t="s">
        <v>458</v>
      </c>
      <c r="L204" s="83" t="s">
        <v>459</v>
      </c>
      <c r="M204" s="86" t="s">
        <v>472</v>
      </c>
      <c r="N204" s="83" t="s">
        <v>27</v>
      </c>
      <c r="O204" s="85"/>
      <c r="P204" s="85"/>
      <c r="Q204" s="85" t="s">
        <v>114</v>
      </c>
      <c r="R204" s="85" t="s">
        <v>168</v>
      </c>
      <c r="S204" s="85" t="s">
        <v>508</v>
      </c>
      <c r="T204" s="85" t="s">
        <v>116</v>
      </c>
    </row>
    <row r="205" spans="1:20" s="82" customFormat="1" hidden="1" x14ac:dyDescent="0.35">
      <c r="A205" s="59" t="s">
        <v>77</v>
      </c>
      <c r="B205" s="83" t="s">
        <v>82</v>
      </c>
      <c r="C205" s="83" t="s">
        <v>72</v>
      </c>
      <c r="D205" s="83" t="s">
        <v>459</v>
      </c>
      <c r="E205" s="83" t="s">
        <v>459</v>
      </c>
      <c r="F205" s="83" t="s">
        <v>457</v>
      </c>
      <c r="G205" s="83"/>
      <c r="H205" s="83"/>
      <c r="I205" s="83"/>
      <c r="J205" s="1"/>
      <c r="K205" s="83" t="s">
        <v>458</v>
      </c>
      <c r="L205" s="83" t="s">
        <v>459</v>
      </c>
      <c r="M205" s="86" t="s">
        <v>472</v>
      </c>
      <c r="N205" s="83" t="s">
        <v>27</v>
      </c>
      <c r="O205" s="85"/>
      <c r="P205" s="85"/>
      <c r="Q205" s="85" t="s">
        <v>114</v>
      </c>
      <c r="R205" s="85" t="s">
        <v>168</v>
      </c>
      <c r="S205" s="85" t="s">
        <v>509</v>
      </c>
      <c r="T205" s="85" t="s">
        <v>116</v>
      </c>
    </row>
    <row r="206" spans="1:20" s="82" customFormat="1" hidden="1" x14ac:dyDescent="0.35">
      <c r="A206" s="59" t="s">
        <v>77</v>
      </c>
      <c r="B206" s="83" t="s">
        <v>83</v>
      </c>
      <c r="C206" s="83" t="s">
        <v>72</v>
      </c>
      <c r="D206" s="83" t="s">
        <v>459</v>
      </c>
      <c r="E206" s="83" t="s">
        <v>459</v>
      </c>
      <c r="F206" s="83" t="s">
        <v>457</v>
      </c>
      <c r="G206" s="83"/>
      <c r="H206" s="83"/>
      <c r="I206" s="83"/>
      <c r="J206" s="1"/>
      <c r="K206" s="83" t="s">
        <v>510</v>
      </c>
      <c r="L206" s="83" t="s">
        <v>459</v>
      </c>
      <c r="M206" s="86" t="s">
        <v>472</v>
      </c>
      <c r="N206" s="83" t="s">
        <v>27</v>
      </c>
      <c r="O206" s="85"/>
      <c r="P206" s="85"/>
      <c r="Q206" s="85" t="s">
        <v>114</v>
      </c>
      <c r="R206" s="85" t="s">
        <v>168</v>
      </c>
      <c r="S206" s="85" t="s">
        <v>511</v>
      </c>
      <c r="T206" s="85" t="s">
        <v>116</v>
      </c>
    </row>
    <row r="207" spans="1:20" s="82" customFormat="1" hidden="1" x14ac:dyDescent="0.35">
      <c r="A207" s="59" t="s">
        <v>77</v>
      </c>
      <c r="B207" s="83" t="s">
        <v>84</v>
      </c>
      <c r="C207" s="83" t="s">
        <v>72</v>
      </c>
      <c r="D207" s="83" t="s">
        <v>459</v>
      </c>
      <c r="E207" s="83" t="s">
        <v>459</v>
      </c>
      <c r="F207" s="83" t="s">
        <v>457</v>
      </c>
      <c r="G207" s="83"/>
      <c r="H207" s="83"/>
      <c r="I207" s="83"/>
      <c r="J207" s="1"/>
      <c r="K207" s="83" t="s">
        <v>512</v>
      </c>
      <c r="L207" s="83" t="s">
        <v>459</v>
      </c>
      <c r="M207" s="86" t="s">
        <v>472</v>
      </c>
      <c r="N207" s="83" t="s">
        <v>27</v>
      </c>
      <c r="O207" s="85"/>
      <c r="P207" s="85"/>
      <c r="Q207" s="85" t="s">
        <v>114</v>
      </c>
      <c r="R207" s="85" t="s">
        <v>168</v>
      </c>
      <c r="S207" s="85" t="s">
        <v>513</v>
      </c>
      <c r="T207" s="85" t="s">
        <v>116</v>
      </c>
    </row>
    <row r="208" spans="1:20" s="82" customFormat="1" hidden="1" x14ac:dyDescent="0.35">
      <c r="A208" s="59" t="s">
        <v>77</v>
      </c>
      <c r="B208" s="83" t="s">
        <v>85</v>
      </c>
      <c r="C208" s="83" t="s">
        <v>72</v>
      </c>
      <c r="D208" s="83" t="s">
        <v>459</v>
      </c>
      <c r="E208" s="83" t="s">
        <v>459</v>
      </c>
      <c r="F208" s="83" t="s">
        <v>457</v>
      </c>
      <c r="G208" s="83"/>
      <c r="H208" s="83"/>
      <c r="I208" s="83"/>
      <c r="J208" s="1"/>
      <c r="K208" s="83" t="s">
        <v>512</v>
      </c>
      <c r="L208" s="83" t="s">
        <v>459</v>
      </c>
      <c r="M208" s="86" t="s">
        <v>472</v>
      </c>
      <c r="N208" s="83" t="s">
        <v>27</v>
      </c>
      <c r="O208" s="85"/>
      <c r="P208" s="85"/>
      <c r="Q208" s="85" t="s">
        <v>114</v>
      </c>
      <c r="R208" s="85" t="s">
        <v>168</v>
      </c>
      <c r="S208" s="85" t="s">
        <v>514</v>
      </c>
      <c r="T208" s="85" t="s">
        <v>116</v>
      </c>
    </row>
    <row r="209" spans="1:20" s="82" customFormat="1" hidden="1" x14ac:dyDescent="0.35">
      <c r="A209" s="59" t="s">
        <v>77</v>
      </c>
      <c r="B209" s="83" t="s">
        <v>86</v>
      </c>
      <c r="C209" s="83" t="s">
        <v>72</v>
      </c>
      <c r="D209" s="83" t="s">
        <v>459</v>
      </c>
      <c r="E209" s="83" t="s">
        <v>459</v>
      </c>
      <c r="F209" s="83" t="s">
        <v>457</v>
      </c>
      <c r="G209" s="83"/>
      <c r="H209" s="83"/>
      <c r="I209" s="83"/>
      <c r="J209" s="1"/>
      <c r="K209" s="83" t="s">
        <v>512</v>
      </c>
      <c r="L209" s="83" t="s">
        <v>459</v>
      </c>
      <c r="M209" s="86" t="s">
        <v>472</v>
      </c>
      <c r="N209" s="83" t="s">
        <v>27</v>
      </c>
      <c r="O209" s="85"/>
      <c r="P209" s="85"/>
      <c r="Q209" s="85" t="s">
        <v>114</v>
      </c>
      <c r="R209" s="85" t="s">
        <v>168</v>
      </c>
      <c r="S209" s="85" t="s">
        <v>515</v>
      </c>
      <c r="T209" s="85" t="s">
        <v>116</v>
      </c>
    </row>
    <row r="210" spans="1:20" s="82" customFormat="1" hidden="1" x14ac:dyDescent="0.35">
      <c r="A210" s="59" t="s">
        <v>77</v>
      </c>
      <c r="B210" s="83" t="s">
        <v>87</v>
      </c>
      <c r="C210" s="83" t="s">
        <v>72</v>
      </c>
      <c r="D210" s="83" t="s">
        <v>459</v>
      </c>
      <c r="E210" s="83" t="s">
        <v>459</v>
      </c>
      <c r="F210" s="83" t="s">
        <v>457</v>
      </c>
      <c r="G210" s="83"/>
      <c r="H210" s="83"/>
      <c r="I210" s="83"/>
      <c r="J210" s="1"/>
      <c r="K210" s="83" t="s">
        <v>510</v>
      </c>
      <c r="L210" s="83" t="s">
        <v>459</v>
      </c>
      <c r="M210" s="86" t="s">
        <v>472</v>
      </c>
      <c r="N210" s="83" t="s">
        <v>27</v>
      </c>
      <c r="O210" s="85"/>
      <c r="P210" s="85"/>
      <c r="Q210" s="85" t="s">
        <v>114</v>
      </c>
      <c r="R210" s="85" t="s">
        <v>168</v>
      </c>
      <c r="S210" s="85" t="s">
        <v>516</v>
      </c>
      <c r="T210" s="85" t="s">
        <v>116</v>
      </c>
    </row>
    <row r="211" spans="1:20" s="82" customFormat="1" hidden="1" x14ac:dyDescent="0.35">
      <c r="A211" s="59" t="s">
        <v>77</v>
      </c>
      <c r="B211" s="83" t="s">
        <v>88</v>
      </c>
      <c r="C211" s="83" t="s">
        <v>72</v>
      </c>
      <c r="D211" s="83" t="s">
        <v>459</v>
      </c>
      <c r="E211" s="83" t="s">
        <v>459</v>
      </c>
      <c r="F211" s="83" t="s">
        <v>457</v>
      </c>
      <c r="G211" s="83"/>
      <c r="H211" s="83"/>
      <c r="I211" s="84"/>
      <c r="J211" s="1" t="s">
        <v>517</v>
      </c>
      <c r="K211" s="83" t="s">
        <v>458</v>
      </c>
      <c r="L211" s="83" t="s">
        <v>459</v>
      </c>
      <c r="M211" s="86" t="s">
        <v>472</v>
      </c>
      <c r="N211" s="83" t="s">
        <v>27</v>
      </c>
      <c r="O211" s="85"/>
      <c r="P211" s="85"/>
      <c r="Q211" s="85" t="s">
        <v>114</v>
      </c>
      <c r="R211" s="85" t="s">
        <v>168</v>
      </c>
      <c r="S211" s="85" t="s">
        <v>517</v>
      </c>
      <c r="T211" s="85" t="s">
        <v>116</v>
      </c>
    </row>
    <row r="212" spans="1:20" hidden="1" x14ac:dyDescent="0.35">
      <c r="B212" s="1" t="s">
        <v>274</v>
      </c>
      <c r="C212" s="1" t="s">
        <v>76</v>
      </c>
      <c r="D212" s="1" t="s">
        <v>457</v>
      </c>
      <c r="E212" s="1"/>
      <c r="F212" s="1"/>
      <c r="G212" s="1"/>
      <c r="H212" s="40"/>
      <c r="I212" s="1"/>
      <c r="J212" s="1"/>
      <c r="K212" s="1" t="s">
        <v>458</v>
      </c>
      <c r="L212" s="1"/>
      <c r="M212" s="1"/>
      <c r="N212" s="1" t="s">
        <v>16</v>
      </c>
      <c r="O212" s="11" t="s">
        <v>4</v>
      </c>
      <c r="P212" s="10" t="s">
        <v>275</v>
      </c>
      <c r="Q212" s="10" t="s">
        <v>114</v>
      </c>
      <c r="R212" s="10" t="s">
        <v>115</v>
      </c>
      <c r="S212" s="10" t="s">
        <v>115</v>
      </c>
      <c r="T212" s="12" t="s">
        <v>116</v>
      </c>
    </row>
    <row r="213" spans="1:20" hidden="1" x14ac:dyDescent="0.35">
      <c r="B213" s="1" t="s">
        <v>276</v>
      </c>
      <c r="C213" s="1" t="s">
        <v>76</v>
      </c>
      <c r="D213" s="1" t="s">
        <v>457</v>
      </c>
      <c r="E213" s="1"/>
      <c r="F213" s="1"/>
      <c r="G213" s="1"/>
      <c r="H213" s="40"/>
      <c r="I213" s="1"/>
      <c r="J213" s="1"/>
      <c r="K213" s="1" t="s">
        <v>458</v>
      </c>
      <c r="L213" s="1"/>
      <c r="M213" s="1"/>
      <c r="N213" s="1" t="s">
        <v>18</v>
      </c>
      <c r="O213" s="11" t="s">
        <v>4</v>
      </c>
      <c r="P213" s="10" t="s">
        <v>277</v>
      </c>
      <c r="Q213" s="10" t="s">
        <v>114</v>
      </c>
      <c r="R213" s="10" t="s">
        <v>115</v>
      </c>
      <c r="S213" s="10" t="s">
        <v>115</v>
      </c>
      <c r="T213" s="12" t="s">
        <v>116</v>
      </c>
    </row>
    <row r="214" spans="1:20" hidden="1" x14ac:dyDescent="0.35">
      <c r="B214" s="1" t="s">
        <v>278</v>
      </c>
      <c r="C214" s="1" t="s">
        <v>76</v>
      </c>
      <c r="D214" s="1" t="s">
        <v>457</v>
      </c>
      <c r="E214" s="1"/>
      <c r="F214" s="1"/>
      <c r="G214" s="1"/>
      <c r="H214" s="40"/>
      <c r="I214" s="1"/>
      <c r="J214" s="1"/>
      <c r="K214" s="1" t="s">
        <v>458</v>
      </c>
      <c r="L214" s="1"/>
      <c r="M214" s="1"/>
      <c r="N214" s="1" t="s">
        <v>279</v>
      </c>
      <c r="O214" s="11" t="s">
        <v>4</v>
      </c>
      <c r="P214" s="10" t="s">
        <v>280</v>
      </c>
      <c r="Q214" s="10" t="s">
        <v>114</v>
      </c>
      <c r="R214" s="10" t="s">
        <v>115</v>
      </c>
      <c r="S214" s="10" t="s">
        <v>115</v>
      </c>
      <c r="T214" s="12" t="s">
        <v>116</v>
      </c>
    </row>
    <row r="215" spans="1:20" hidden="1" x14ac:dyDescent="0.35">
      <c r="B215" s="1" t="s">
        <v>281</v>
      </c>
      <c r="C215" s="1" t="s">
        <v>76</v>
      </c>
      <c r="D215" s="1" t="s">
        <v>457</v>
      </c>
      <c r="E215" s="1"/>
      <c r="F215" s="1"/>
      <c r="G215" s="1"/>
      <c r="H215" s="40"/>
      <c r="I215" s="1"/>
      <c r="J215" s="1"/>
      <c r="K215" s="1" t="s">
        <v>458</v>
      </c>
      <c r="L215" s="1"/>
      <c r="M215" s="1"/>
      <c r="N215" s="1" t="s">
        <v>217</v>
      </c>
      <c r="O215" s="11"/>
      <c r="P215" s="10" t="s">
        <v>282</v>
      </c>
      <c r="Q215" s="10" t="s">
        <v>114</v>
      </c>
      <c r="R215" s="10" t="s">
        <v>168</v>
      </c>
      <c r="S215" s="10" t="s">
        <v>283</v>
      </c>
      <c r="T215" s="12" t="s">
        <v>116</v>
      </c>
    </row>
    <row r="216" spans="1:20" hidden="1" x14ac:dyDescent="0.35">
      <c r="B216" s="1" t="s">
        <v>284</v>
      </c>
      <c r="C216" s="1" t="s">
        <v>76</v>
      </c>
      <c r="D216" s="1" t="s">
        <v>457</v>
      </c>
      <c r="E216" s="1"/>
      <c r="F216" s="1"/>
      <c r="G216" s="1"/>
      <c r="H216" s="40"/>
      <c r="I216" s="1"/>
      <c r="J216" s="1"/>
      <c r="K216" s="1" t="s">
        <v>458</v>
      </c>
      <c r="L216" s="1"/>
      <c r="M216" s="1"/>
      <c r="N216" s="1" t="s">
        <v>217</v>
      </c>
      <c r="O216" s="11"/>
      <c r="P216" s="10" t="s">
        <v>285</v>
      </c>
      <c r="Q216" s="10" t="s">
        <v>114</v>
      </c>
      <c r="R216" s="10" t="s">
        <v>168</v>
      </c>
      <c r="S216" s="10" t="s">
        <v>286</v>
      </c>
      <c r="T216" s="12" t="s">
        <v>116</v>
      </c>
    </row>
    <row r="217" spans="1:20" hidden="1" x14ac:dyDescent="0.35">
      <c r="B217" s="1" t="s">
        <v>287</v>
      </c>
      <c r="C217" s="1" t="s">
        <v>76</v>
      </c>
      <c r="D217" s="1" t="s">
        <v>457</v>
      </c>
      <c r="E217" s="1"/>
      <c r="F217" s="1"/>
      <c r="G217" s="1"/>
      <c r="H217" s="40"/>
      <c r="I217" s="1"/>
      <c r="J217" s="1"/>
      <c r="K217" s="1" t="s">
        <v>458</v>
      </c>
      <c r="L217" s="1"/>
      <c r="M217" s="1"/>
      <c r="N217" s="1" t="s">
        <v>217</v>
      </c>
      <c r="O217" s="11"/>
      <c r="P217" s="10" t="s">
        <v>288</v>
      </c>
      <c r="Q217" s="10" t="s">
        <v>114</v>
      </c>
      <c r="R217" s="10" t="s">
        <v>168</v>
      </c>
      <c r="S217" s="10" t="s">
        <v>289</v>
      </c>
      <c r="T217" s="12" t="s">
        <v>116</v>
      </c>
    </row>
    <row r="218" spans="1:20" hidden="1" x14ac:dyDescent="0.35">
      <c r="B218" s="1" t="s">
        <v>241</v>
      </c>
      <c r="C218" s="1" t="s">
        <v>76</v>
      </c>
      <c r="D218" s="1" t="s">
        <v>459</v>
      </c>
      <c r="E218" s="1" t="s">
        <v>459</v>
      </c>
      <c r="F218" s="1" t="s">
        <v>457</v>
      </c>
      <c r="G218" s="1"/>
      <c r="H218" s="40"/>
      <c r="I218" s="1"/>
      <c r="J218" s="1"/>
      <c r="K218" s="1" t="s">
        <v>458</v>
      </c>
      <c r="L218" s="1" t="s">
        <v>457</v>
      </c>
      <c r="M218" s="21" t="s">
        <v>518</v>
      </c>
      <c r="N218" s="1" t="s">
        <v>16</v>
      </c>
      <c r="O218" s="11"/>
      <c r="P218" s="10" t="s">
        <v>242</v>
      </c>
      <c r="Q218" s="10" t="s">
        <v>114</v>
      </c>
      <c r="R218" s="10" t="s">
        <v>115</v>
      </c>
      <c r="S218" s="10" t="s">
        <v>115</v>
      </c>
      <c r="T218" s="12" t="s">
        <v>116</v>
      </c>
    </row>
    <row r="219" spans="1:20" hidden="1" x14ac:dyDescent="0.35">
      <c r="B219" s="1" t="s">
        <v>237</v>
      </c>
      <c r="C219" s="1" t="s">
        <v>76</v>
      </c>
      <c r="D219" s="1" t="s">
        <v>459</v>
      </c>
      <c r="E219" s="1" t="s">
        <v>459</v>
      </c>
      <c r="F219" s="1" t="s">
        <v>457</v>
      </c>
      <c r="G219" s="1"/>
      <c r="H219" s="40"/>
      <c r="I219" s="1"/>
      <c r="J219" s="1"/>
      <c r="K219" s="1" t="s">
        <v>458</v>
      </c>
      <c r="L219" s="1" t="s">
        <v>457</v>
      </c>
      <c r="M219" s="21" t="s">
        <v>518</v>
      </c>
      <c r="N219" s="1" t="s">
        <v>10</v>
      </c>
      <c r="O219" s="11"/>
      <c r="P219" s="10" t="s">
        <v>238</v>
      </c>
      <c r="Q219" s="10" t="s">
        <v>114</v>
      </c>
      <c r="R219" s="10" t="s">
        <v>115</v>
      </c>
      <c r="S219" s="10" t="s">
        <v>115</v>
      </c>
      <c r="T219" s="11" t="s">
        <v>116</v>
      </c>
    </row>
    <row r="220" spans="1:20" hidden="1" x14ac:dyDescent="0.35">
      <c r="B220" s="1" t="s">
        <v>239</v>
      </c>
      <c r="C220" s="1" t="s">
        <v>76</v>
      </c>
      <c r="D220" s="1" t="s">
        <v>459</v>
      </c>
      <c r="E220" s="1" t="s">
        <v>459</v>
      </c>
      <c r="F220" s="1" t="s">
        <v>457</v>
      </c>
      <c r="G220" s="1"/>
      <c r="H220" s="40"/>
      <c r="I220" s="1"/>
      <c r="J220" s="1"/>
      <c r="K220" s="1" t="s">
        <v>458</v>
      </c>
      <c r="L220" s="1" t="s">
        <v>457</v>
      </c>
      <c r="M220" s="21" t="s">
        <v>518</v>
      </c>
      <c r="N220" s="1" t="s">
        <v>14</v>
      </c>
      <c r="O220" s="11"/>
      <c r="P220" s="10" t="s">
        <v>240</v>
      </c>
      <c r="Q220" s="10" t="s">
        <v>114</v>
      </c>
      <c r="R220" s="10" t="s">
        <v>115</v>
      </c>
      <c r="S220" s="10" t="s">
        <v>115</v>
      </c>
      <c r="T220" s="12" t="s">
        <v>116</v>
      </c>
    </row>
    <row r="221" spans="1:20" hidden="1" x14ac:dyDescent="0.35">
      <c r="B221" s="1" t="s">
        <v>290</v>
      </c>
      <c r="C221" s="1" t="s">
        <v>76</v>
      </c>
      <c r="D221" s="1" t="s">
        <v>459</v>
      </c>
      <c r="E221" s="1"/>
      <c r="F221" s="1"/>
      <c r="G221" s="1"/>
      <c r="H221" s="40" t="s">
        <v>460</v>
      </c>
      <c r="I221" s="1" t="s">
        <v>460</v>
      </c>
      <c r="J221" s="1" t="s">
        <v>461</v>
      </c>
      <c r="K221" s="1" t="s">
        <v>462</v>
      </c>
      <c r="L221" s="1"/>
      <c r="M221" s="1" t="s">
        <v>463</v>
      </c>
      <c r="N221" s="1" t="s">
        <v>16</v>
      </c>
      <c r="O221" s="11"/>
      <c r="P221" s="43" t="s">
        <v>132</v>
      </c>
      <c r="Q221" s="10" t="s">
        <v>133</v>
      </c>
      <c r="R221" s="10" t="s">
        <v>115</v>
      </c>
      <c r="S221" s="10" t="s">
        <v>115</v>
      </c>
      <c r="T221" s="12" t="s">
        <v>116</v>
      </c>
    </row>
    <row r="222" spans="1:20" hidden="1" x14ac:dyDescent="0.35">
      <c r="B222" s="1" t="s">
        <v>291</v>
      </c>
      <c r="C222" s="1" t="s">
        <v>76</v>
      </c>
      <c r="D222" s="1" t="s">
        <v>459</v>
      </c>
      <c r="E222" s="1"/>
      <c r="F222" s="1"/>
      <c r="G222" s="1"/>
      <c r="H222" s="40" t="s">
        <v>460</v>
      </c>
      <c r="I222" s="1" t="s">
        <v>460</v>
      </c>
      <c r="J222" s="1" t="s">
        <v>461</v>
      </c>
      <c r="K222" s="1" t="s">
        <v>462</v>
      </c>
      <c r="L222" s="1"/>
      <c r="M222" s="1" t="s">
        <v>463</v>
      </c>
      <c r="N222" s="1" t="s">
        <v>18</v>
      </c>
      <c r="O222" s="11"/>
      <c r="P222" s="43" t="s">
        <v>132</v>
      </c>
      <c r="Q222" s="10" t="s">
        <v>133</v>
      </c>
      <c r="R222" s="10" t="s">
        <v>115</v>
      </c>
      <c r="S222" s="10" t="s">
        <v>115</v>
      </c>
      <c r="T222" s="12" t="s">
        <v>116</v>
      </c>
    </row>
    <row r="223" spans="1:20" hidden="1" x14ac:dyDescent="0.35">
      <c r="B223" s="1" t="s">
        <v>292</v>
      </c>
      <c r="C223" s="1" t="s">
        <v>76</v>
      </c>
      <c r="D223" s="1" t="s">
        <v>459</v>
      </c>
      <c r="E223" s="1"/>
      <c r="F223" s="1"/>
      <c r="G223" s="1"/>
      <c r="H223" s="40" t="s">
        <v>460</v>
      </c>
      <c r="I223" s="1" t="s">
        <v>460</v>
      </c>
      <c r="J223" s="1" t="s">
        <v>461</v>
      </c>
      <c r="K223" s="1" t="s">
        <v>462</v>
      </c>
      <c r="L223" s="1"/>
      <c r="M223" s="1" t="s">
        <v>463</v>
      </c>
      <c r="N223" s="1" t="s">
        <v>279</v>
      </c>
      <c r="O223" s="11"/>
      <c r="P223" s="43" t="s">
        <v>132</v>
      </c>
      <c r="Q223" s="10" t="s">
        <v>133</v>
      </c>
      <c r="R223" s="10" t="s">
        <v>115</v>
      </c>
      <c r="S223" s="10" t="s">
        <v>115</v>
      </c>
      <c r="T223" s="12" t="s">
        <v>116</v>
      </c>
    </row>
    <row r="224" spans="1:20" hidden="1" x14ac:dyDescent="0.35">
      <c r="B224" s="1" t="s">
        <v>293</v>
      </c>
      <c r="C224" s="1" t="s">
        <v>76</v>
      </c>
      <c r="D224" s="1" t="s">
        <v>459</v>
      </c>
      <c r="E224" s="1"/>
      <c r="F224" s="1"/>
      <c r="G224" s="1"/>
      <c r="H224" s="40" t="s">
        <v>460</v>
      </c>
      <c r="I224" s="1" t="s">
        <v>460</v>
      </c>
      <c r="J224" s="1" t="s">
        <v>461</v>
      </c>
      <c r="K224" s="1" t="s">
        <v>462</v>
      </c>
      <c r="L224" s="1"/>
      <c r="M224" s="1" t="s">
        <v>463</v>
      </c>
      <c r="N224" s="1" t="s">
        <v>18</v>
      </c>
      <c r="O224" s="11"/>
      <c r="P224" s="43" t="s">
        <v>132</v>
      </c>
      <c r="Q224" s="10" t="s">
        <v>133</v>
      </c>
      <c r="R224" s="10" t="s">
        <v>115</v>
      </c>
      <c r="S224" s="10" t="s">
        <v>115</v>
      </c>
      <c r="T224" s="12" t="s">
        <v>116</v>
      </c>
    </row>
    <row r="225" spans="1:20" hidden="1" x14ac:dyDescent="0.35">
      <c r="B225" s="1" t="s">
        <v>294</v>
      </c>
      <c r="C225" s="1" t="s">
        <v>76</v>
      </c>
      <c r="D225" s="1" t="s">
        <v>459</v>
      </c>
      <c r="E225" s="1"/>
      <c r="F225" s="1"/>
      <c r="G225" s="1"/>
      <c r="H225" s="40" t="s">
        <v>460</v>
      </c>
      <c r="I225" s="1" t="s">
        <v>460</v>
      </c>
      <c r="J225" s="1" t="s">
        <v>461</v>
      </c>
      <c r="K225" s="1" t="s">
        <v>462</v>
      </c>
      <c r="L225" s="1"/>
      <c r="M225" s="1" t="s">
        <v>463</v>
      </c>
      <c r="N225" s="1" t="s">
        <v>279</v>
      </c>
      <c r="O225" s="11"/>
      <c r="P225" s="43" t="s">
        <v>132</v>
      </c>
      <c r="Q225" s="10" t="s">
        <v>133</v>
      </c>
      <c r="R225" s="10" t="s">
        <v>115</v>
      </c>
      <c r="S225" s="10" t="s">
        <v>115</v>
      </c>
      <c r="T225" s="12" t="s">
        <v>116</v>
      </c>
    </row>
    <row r="226" spans="1:20" hidden="1" x14ac:dyDescent="0.35">
      <c r="B226" s="1" t="s">
        <v>295</v>
      </c>
      <c r="C226" s="1" t="s">
        <v>76</v>
      </c>
      <c r="D226" s="1" t="s">
        <v>459</v>
      </c>
      <c r="E226" s="1"/>
      <c r="F226" s="1"/>
      <c r="G226" s="1"/>
      <c r="H226" s="40" t="s">
        <v>460</v>
      </c>
      <c r="I226" s="38" t="s">
        <v>460</v>
      </c>
      <c r="J226" s="1" t="s">
        <v>461</v>
      </c>
      <c r="K226" s="1" t="s">
        <v>462</v>
      </c>
      <c r="L226" s="1"/>
      <c r="M226" s="1" t="s">
        <v>463</v>
      </c>
      <c r="N226" s="1" t="s">
        <v>16</v>
      </c>
      <c r="O226" s="11"/>
      <c r="P226" s="43" t="s">
        <v>132</v>
      </c>
      <c r="Q226" s="10" t="s">
        <v>133</v>
      </c>
      <c r="R226" s="10" t="s">
        <v>115</v>
      </c>
      <c r="S226" s="10" t="s">
        <v>115</v>
      </c>
      <c r="T226" s="12" t="s">
        <v>116</v>
      </c>
    </row>
    <row r="227" spans="1:20" hidden="1" x14ac:dyDescent="0.35">
      <c r="B227" s="1" t="s">
        <v>296</v>
      </c>
      <c r="C227" s="1" t="s">
        <v>76</v>
      </c>
      <c r="D227" s="1" t="s">
        <v>459</v>
      </c>
      <c r="E227" s="1" t="s">
        <v>457</v>
      </c>
      <c r="F227" s="1" t="s">
        <v>457</v>
      </c>
      <c r="G227" s="1" t="s">
        <v>477</v>
      </c>
      <c r="H227" s="40" t="s">
        <v>494</v>
      </c>
      <c r="I227" s="1" t="s">
        <v>495</v>
      </c>
      <c r="J227" s="1"/>
      <c r="K227" s="1" t="s">
        <v>458</v>
      </c>
      <c r="L227" s="1" t="s">
        <v>457</v>
      </c>
      <c r="M227" s="21" t="s">
        <v>519</v>
      </c>
      <c r="N227" s="1" t="s">
        <v>10</v>
      </c>
      <c r="O227" s="11"/>
      <c r="P227" s="10"/>
      <c r="Q227" s="10" t="s">
        <v>114</v>
      </c>
      <c r="R227" s="10" t="s">
        <v>115</v>
      </c>
      <c r="S227" s="10" t="s">
        <v>115</v>
      </c>
      <c r="T227" s="12" t="s">
        <v>114</v>
      </c>
    </row>
    <row r="228" spans="1:20" hidden="1" x14ac:dyDescent="0.35">
      <c r="B228" s="1" t="s">
        <v>297</v>
      </c>
      <c r="C228" s="1" t="s">
        <v>76</v>
      </c>
      <c r="D228" s="1" t="s">
        <v>459</v>
      </c>
      <c r="E228" s="1" t="s">
        <v>457</v>
      </c>
      <c r="F228" s="1" t="s">
        <v>457</v>
      </c>
      <c r="G228" s="1" t="s">
        <v>503</v>
      </c>
      <c r="H228" s="40" t="s">
        <v>520</v>
      </c>
      <c r="I228" s="1" t="s">
        <v>521</v>
      </c>
      <c r="J228" s="1"/>
      <c r="K228" s="1" t="s">
        <v>458</v>
      </c>
      <c r="L228" s="1" t="s">
        <v>457</v>
      </c>
      <c r="M228" s="21" t="s">
        <v>519</v>
      </c>
      <c r="N228" s="1" t="s">
        <v>10</v>
      </c>
      <c r="O228" s="11"/>
      <c r="P228" s="10"/>
      <c r="Q228" s="10" t="s">
        <v>114</v>
      </c>
      <c r="R228" s="10" t="s">
        <v>115</v>
      </c>
      <c r="S228" s="10" t="s">
        <v>115</v>
      </c>
      <c r="T228" s="12" t="s">
        <v>114</v>
      </c>
    </row>
    <row r="229" spans="1:20" hidden="1" x14ac:dyDescent="0.35">
      <c r="B229" s="1" t="s">
        <v>237</v>
      </c>
      <c r="C229" s="1" t="s">
        <v>522</v>
      </c>
      <c r="D229" s="1" t="s">
        <v>457</v>
      </c>
      <c r="E229" s="1"/>
      <c r="F229" s="1"/>
      <c r="G229" s="1"/>
      <c r="H229" s="1"/>
      <c r="I229" s="1"/>
      <c r="J229" s="1"/>
      <c r="K229" s="1" t="s">
        <v>458</v>
      </c>
      <c r="L229" s="1"/>
      <c r="M229" s="1"/>
      <c r="N229" s="1" t="s">
        <v>10</v>
      </c>
      <c r="O229" s="11" t="s">
        <v>148</v>
      </c>
      <c r="P229" s="10" t="s">
        <v>238</v>
      </c>
      <c r="Q229" s="10" t="s">
        <v>114</v>
      </c>
      <c r="R229" s="10"/>
      <c r="S229" s="10"/>
      <c r="T229" s="12" t="s">
        <v>116</v>
      </c>
    </row>
    <row r="230" spans="1:20" hidden="1" x14ac:dyDescent="0.35">
      <c r="B230" s="1" t="s">
        <v>239</v>
      </c>
      <c r="C230" s="1" t="s">
        <v>522</v>
      </c>
      <c r="D230" s="1" t="s">
        <v>457</v>
      </c>
      <c r="E230" s="1"/>
      <c r="F230" s="1"/>
      <c r="G230" s="1"/>
      <c r="H230" s="1"/>
      <c r="I230" s="1"/>
      <c r="J230" s="1"/>
      <c r="K230" s="1" t="s">
        <v>458</v>
      </c>
      <c r="L230" s="1"/>
      <c r="M230" s="1"/>
      <c r="N230" s="1" t="s">
        <v>14</v>
      </c>
      <c r="O230" s="11" t="s">
        <v>148</v>
      </c>
      <c r="P230" s="10" t="s">
        <v>240</v>
      </c>
      <c r="Q230" s="10" t="s">
        <v>114</v>
      </c>
      <c r="R230" s="10"/>
      <c r="S230" s="10"/>
      <c r="T230" s="12" t="s">
        <v>116</v>
      </c>
    </row>
    <row r="231" spans="1:20" hidden="1" x14ac:dyDescent="0.35">
      <c r="B231" s="1" t="s">
        <v>241</v>
      </c>
      <c r="C231" s="1" t="s">
        <v>522</v>
      </c>
      <c r="D231" s="1" t="s">
        <v>457</v>
      </c>
      <c r="E231" s="1"/>
      <c r="F231" s="1"/>
      <c r="G231" s="1"/>
      <c r="H231" s="1"/>
      <c r="I231" s="1"/>
      <c r="J231" s="1"/>
      <c r="K231" s="1" t="s">
        <v>458</v>
      </c>
      <c r="L231" s="1"/>
      <c r="M231" s="1"/>
      <c r="N231" s="1" t="s">
        <v>16</v>
      </c>
      <c r="O231" s="11" t="s">
        <v>148</v>
      </c>
      <c r="P231" s="10" t="s">
        <v>242</v>
      </c>
      <c r="Q231" s="10" t="s">
        <v>114</v>
      </c>
      <c r="R231" s="10"/>
      <c r="S231" s="10"/>
      <c r="T231" s="12" t="s">
        <v>116</v>
      </c>
    </row>
    <row r="232" spans="1:20" hidden="1" x14ac:dyDescent="0.35">
      <c r="B232" s="1" t="s">
        <v>523</v>
      </c>
      <c r="C232" s="1" t="s">
        <v>522</v>
      </c>
      <c r="D232" s="1" t="s">
        <v>457</v>
      </c>
      <c r="E232" s="1"/>
      <c r="F232" s="1"/>
      <c r="G232" s="1"/>
      <c r="H232" s="1"/>
      <c r="I232" s="1"/>
      <c r="J232" s="1"/>
      <c r="K232" s="1" t="s">
        <v>458</v>
      </c>
      <c r="L232" s="1"/>
      <c r="M232" s="1"/>
      <c r="N232" s="1" t="s">
        <v>220</v>
      </c>
      <c r="O232" s="11"/>
      <c r="P232" s="10" t="s">
        <v>524</v>
      </c>
      <c r="Q232" s="10" t="s">
        <v>114</v>
      </c>
      <c r="R232" s="10" t="s">
        <v>168</v>
      </c>
      <c r="S232" s="10" t="s">
        <v>487</v>
      </c>
      <c r="T232" s="12" t="s">
        <v>116</v>
      </c>
    </row>
    <row r="233" spans="1:20" hidden="1" x14ac:dyDescent="0.35">
      <c r="A233" s="46" t="s">
        <v>7</v>
      </c>
      <c r="B233" s="44" t="s">
        <v>63</v>
      </c>
      <c r="C233" s="48" t="s">
        <v>64</v>
      </c>
      <c r="D233" s="13" t="s">
        <v>459</v>
      </c>
      <c r="E233" s="13" t="s">
        <v>457</v>
      </c>
      <c r="F233" s="13" t="s">
        <v>459</v>
      </c>
      <c r="G233" s="41" t="s">
        <v>477</v>
      </c>
      <c r="H233" s="55" t="s">
        <v>525</v>
      </c>
      <c r="I233" s="41" t="s">
        <v>526</v>
      </c>
      <c r="J233" s="13"/>
      <c r="K233" s="1" t="s">
        <v>458</v>
      </c>
      <c r="L233" s="13" t="s">
        <v>457</v>
      </c>
      <c r="M233" s="50" t="s">
        <v>493</v>
      </c>
      <c r="N233" s="20" t="s">
        <v>65</v>
      </c>
      <c r="O233" s="13"/>
      <c r="P233" s="16" t="s">
        <v>407</v>
      </c>
      <c r="Q233" s="46" t="s">
        <v>114</v>
      </c>
      <c r="R233" s="46"/>
      <c r="S233" s="46"/>
      <c r="T233" s="46" t="s">
        <v>114</v>
      </c>
    </row>
    <row r="234" spans="1:20" hidden="1" x14ac:dyDescent="0.35">
      <c r="A234" s="46" t="s">
        <v>7</v>
      </c>
      <c r="B234" s="44" t="s">
        <v>66</v>
      </c>
      <c r="C234" s="48" t="s">
        <v>64</v>
      </c>
      <c r="D234" s="13" t="s">
        <v>459</v>
      </c>
      <c r="E234" s="13" t="s">
        <v>457</v>
      </c>
      <c r="F234" s="13" t="s">
        <v>459</v>
      </c>
      <c r="G234" s="41" t="s">
        <v>477</v>
      </c>
      <c r="H234" s="41" t="s">
        <v>525</v>
      </c>
      <c r="I234" s="41" t="s">
        <v>527</v>
      </c>
      <c r="J234" s="13"/>
      <c r="K234" s="1" t="s">
        <v>458</v>
      </c>
      <c r="L234" s="13" t="s">
        <v>457</v>
      </c>
      <c r="M234" s="50" t="s">
        <v>493</v>
      </c>
      <c r="N234" s="20" t="s">
        <v>65</v>
      </c>
      <c r="O234" s="13"/>
      <c r="P234" s="16" t="s">
        <v>408</v>
      </c>
      <c r="Q234" s="46" t="s">
        <v>114</v>
      </c>
      <c r="R234" s="46"/>
      <c r="S234" s="46"/>
      <c r="T234" s="46" t="s">
        <v>114</v>
      </c>
    </row>
    <row r="235" spans="1:20" hidden="1" x14ac:dyDescent="0.35">
      <c r="A235" s="46" t="s">
        <v>7</v>
      </c>
      <c r="B235" s="51" t="s">
        <v>67</v>
      </c>
      <c r="C235" s="52" t="s">
        <v>64</v>
      </c>
      <c r="D235" s="53" t="s">
        <v>459</v>
      </c>
      <c r="E235" s="53" t="s">
        <v>457</v>
      </c>
      <c r="F235" s="53"/>
      <c r="G235" s="53"/>
      <c r="H235" s="53"/>
      <c r="I235" s="53"/>
      <c r="J235" s="13"/>
      <c r="K235" s="53" t="s">
        <v>462</v>
      </c>
      <c r="L235" s="53" t="s">
        <v>457</v>
      </c>
      <c r="M235" s="54" t="s">
        <v>468</v>
      </c>
      <c r="N235" s="20" t="s">
        <v>68</v>
      </c>
      <c r="O235" s="13"/>
      <c r="P235" s="16" t="s">
        <v>409</v>
      </c>
      <c r="Q235" s="47" t="s">
        <v>410</v>
      </c>
      <c r="R235" s="46"/>
      <c r="S235" s="46"/>
      <c r="T235" s="46" t="s">
        <v>116</v>
      </c>
    </row>
    <row r="236" spans="1:20" hidden="1" x14ac:dyDescent="0.35">
      <c r="A236" s="46" t="s">
        <v>7</v>
      </c>
      <c r="B236" s="44" t="s">
        <v>69</v>
      </c>
      <c r="C236" s="48" t="s">
        <v>64</v>
      </c>
      <c r="D236" s="13" t="s">
        <v>459</v>
      </c>
      <c r="E236" s="13" t="s">
        <v>457</v>
      </c>
      <c r="F236" s="13" t="s">
        <v>457</v>
      </c>
      <c r="G236" s="41" t="s">
        <v>503</v>
      </c>
      <c r="H236" s="41" t="s">
        <v>528</v>
      </c>
      <c r="I236" s="41" t="s">
        <v>529</v>
      </c>
      <c r="J236" s="13"/>
      <c r="K236" s="1" t="s">
        <v>458</v>
      </c>
      <c r="L236" s="13" t="s">
        <v>457</v>
      </c>
      <c r="M236" s="50" t="s">
        <v>493</v>
      </c>
      <c r="N236" s="20" t="s">
        <v>70</v>
      </c>
      <c r="O236" s="13"/>
      <c r="P236" s="16" t="s">
        <v>411</v>
      </c>
      <c r="Q236" s="46" t="s">
        <v>114</v>
      </c>
      <c r="R236" s="46"/>
      <c r="S236" s="46"/>
      <c r="T236" s="46" t="s">
        <v>114</v>
      </c>
    </row>
    <row r="237" spans="1:20" hidden="1" x14ac:dyDescent="0.35">
      <c r="A237" s="46" t="s">
        <v>7</v>
      </c>
      <c r="B237" s="44" t="s">
        <v>71</v>
      </c>
      <c r="C237" s="48" t="s">
        <v>72</v>
      </c>
      <c r="D237" s="13" t="s">
        <v>459</v>
      </c>
      <c r="E237" s="13" t="s">
        <v>457</v>
      </c>
      <c r="F237" s="13" t="s">
        <v>457</v>
      </c>
      <c r="G237" s="41" t="s">
        <v>503</v>
      </c>
      <c r="H237" s="41" t="s">
        <v>528</v>
      </c>
      <c r="I237" s="41" t="s">
        <v>529</v>
      </c>
      <c r="J237" s="13"/>
      <c r="K237" s="1" t="s">
        <v>458</v>
      </c>
      <c r="L237" s="13" t="s">
        <v>457</v>
      </c>
      <c r="M237" s="50" t="s">
        <v>506</v>
      </c>
      <c r="N237" s="20" t="s">
        <v>70</v>
      </c>
      <c r="O237" s="13"/>
      <c r="P237" t="s">
        <v>412</v>
      </c>
      <c r="Q237" s="46" t="s">
        <v>114</v>
      </c>
      <c r="R237" s="46"/>
      <c r="S237" s="46"/>
      <c r="T237" s="46" t="s">
        <v>114</v>
      </c>
    </row>
    <row r="238" spans="1:20" hidden="1" x14ac:dyDescent="0.35">
      <c r="A238" s="46" t="s">
        <v>7</v>
      </c>
      <c r="B238" s="44" t="s">
        <v>73</v>
      </c>
      <c r="C238" s="48" t="s">
        <v>72</v>
      </c>
      <c r="D238" s="13" t="s">
        <v>459</v>
      </c>
      <c r="E238" s="13" t="s">
        <v>457</v>
      </c>
      <c r="F238" s="13" t="s">
        <v>459</v>
      </c>
      <c r="G238" s="41" t="s">
        <v>477</v>
      </c>
      <c r="H238" s="41" t="s">
        <v>525</v>
      </c>
      <c r="I238" s="41" t="s">
        <v>526</v>
      </c>
      <c r="J238" s="13"/>
      <c r="K238" s="1" t="s">
        <v>458</v>
      </c>
      <c r="L238" s="13" t="s">
        <v>457</v>
      </c>
      <c r="M238" s="50" t="s">
        <v>506</v>
      </c>
      <c r="N238" s="20" t="s">
        <v>65</v>
      </c>
      <c r="O238" s="13"/>
      <c r="P238" s="16" t="s">
        <v>413</v>
      </c>
      <c r="Q238" s="46" t="s">
        <v>114</v>
      </c>
      <c r="R238" s="46"/>
      <c r="S238" s="46"/>
      <c r="T238" s="46" t="s">
        <v>114</v>
      </c>
    </row>
    <row r="239" spans="1:20" hidden="1" x14ac:dyDescent="0.35">
      <c r="A239" s="46" t="s">
        <v>7</v>
      </c>
      <c r="B239" s="44" t="s">
        <v>74</v>
      </c>
      <c r="C239" s="48" t="s">
        <v>72</v>
      </c>
      <c r="D239" s="13" t="s">
        <v>459</v>
      </c>
      <c r="E239" s="13" t="s">
        <v>457</v>
      </c>
      <c r="F239" s="13" t="s">
        <v>459</v>
      </c>
      <c r="G239" s="41" t="s">
        <v>477</v>
      </c>
      <c r="H239" s="41" t="s">
        <v>525</v>
      </c>
      <c r="I239" s="41" t="s">
        <v>527</v>
      </c>
      <c r="J239" s="13"/>
      <c r="K239" s="1" t="s">
        <v>458</v>
      </c>
      <c r="L239" s="13" t="s">
        <v>457</v>
      </c>
      <c r="M239" s="50" t="s">
        <v>506</v>
      </c>
      <c r="N239" s="20" t="s">
        <v>65</v>
      </c>
      <c r="O239" s="13"/>
      <c r="P239" s="16" t="s">
        <v>414</v>
      </c>
      <c r="Q239" s="46" t="s">
        <v>114</v>
      </c>
      <c r="R239" s="46"/>
      <c r="S239" s="46"/>
      <c r="T239" s="46" t="s">
        <v>114</v>
      </c>
    </row>
    <row r="240" spans="1:20" hidden="1" x14ac:dyDescent="0.35">
      <c r="A240" s="46" t="s">
        <v>7</v>
      </c>
      <c r="B240" s="45" t="s">
        <v>75</v>
      </c>
      <c r="C240" s="49" t="s">
        <v>76</v>
      </c>
      <c r="D240" s="13" t="s">
        <v>459</v>
      </c>
      <c r="E240" s="13" t="s">
        <v>457</v>
      </c>
      <c r="F240" s="13" t="s">
        <v>457</v>
      </c>
      <c r="G240" s="41" t="s">
        <v>503</v>
      </c>
      <c r="H240" s="41" t="s">
        <v>528</v>
      </c>
      <c r="I240" s="41" t="s">
        <v>529</v>
      </c>
      <c r="J240" s="13"/>
      <c r="K240" s="1" t="s">
        <v>458</v>
      </c>
      <c r="L240" s="13" t="s">
        <v>457</v>
      </c>
      <c r="M240" s="50" t="s">
        <v>519</v>
      </c>
      <c r="N240" s="11" t="s">
        <v>70</v>
      </c>
      <c r="O240" s="13"/>
      <c r="P240" s="16" t="s">
        <v>415</v>
      </c>
      <c r="Q240" s="46" t="s">
        <v>114</v>
      </c>
      <c r="R240" s="46"/>
      <c r="S240" s="46"/>
      <c r="T240" s="46" t="s">
        <v>114</v>
      </c>
    </row>
    <row r="241" spans="1:20" hidden="1" x14ac:dyDescent="0.35">
      <c r="A241" s="46">
        <v>0.2</v>
      </c>
      <c r="B241" s="17" t="s">
        <v>8</v>
      </c>
      <c r="C241" s="17" t="s">
        <v>9</v>
      </c>
      <c r="K241" s="81" t="s">
        <v>462</v>
      </c>
      <c r="N241" s="17" t="s">
        <v>10</v>
      </c>
      <c r="O241" s="17" t="s">
        <v>4</v>
      </c>
      <c r="P241" s="73"/>
      <c r="Q241" s="17" t="s">
        <v>380</v>
      </c>
      <c r="R241" s="46"/>
      <c r="S241" s="46"/>
      <c r="T241" s="46"/>
    </row>
    <row r="242" spans="1:20" hidden="1" x14ac:dyDescent="0.35">
      <c r="A242" s="46">
        <v>0.2</v>
      </c>
      <c r="B242" s="17" t="s">
        <v>13</v>
      </c>
      <c r="C242" s="17" t="s">
        <v>9</v>
      </c>
      <c r="K242" s="81" t="s">
        <v>462</v>
      </c>
      <c r="N242" s="17" t="s">
        <v>14</v>
      </c>
      <c r="O242" s="17" t="s">
        <v>4</v>
      </c>
      <c r="P242" s="17" t="s">
        <v>381</v>
      </c>
      <c r="Q242" s="17" t="s">
        <v>380</v>
      </c>
      <c r="R242" s="46"/>
      <c r="S242" s="46"/>
      <c r="T242" s="46"/>
    </row>
    <row r="243" spans="1:20" hidden="1" x14ac:dyDescent="0.35">
      <c r="A243" s="46">
        <v>0.2</v>
      </c>
      <c r="B243" s="17" t="s">
        <v>15</v>
      </c>
      <c r="C243" s="17" t="s">
        <v>9</v>
      </c>
      <c r="K243" s="81" t="s">
        <v>462</v>
      </c>
      <c r="N243" s="17" t="s">
        <v>16</v>
      </c>
      <c r="O243" s="17" t="s">
        <v>4</v>
      </c>
      <c r="P243" s="17" t="s">
        <v>381</v>
      </c>
      <c r="Q243" s="17" t="s">
        <v>380</v>
      </c>
      <c r="R243" s="46"/>
      <c r="S243" s="46"/>
      <c r="T243" s="46"/>
    </row>
    <row r="244" spans="1:20" hidden="1" x14ac:dyDescent="0.35">
      <c r="A244" s="46">
        <v>0.2</v>
      </c>
      <c r="B244" s="17" t="s">
        <v>17</v>
      </c>
      <c r="C244" s="17" t="s">
        <v>9</v>
      </c>
      <c r="K244" s="81" t="s">
        <v>462</v>
      </c>
      <c r="N244" s="17" t="s">
        <v>18</v>
      </c>
      <c r="O244" s="17" t="s">
        <v>4</v>
      </c>
      <c r="P244" s="17" t="s">
        <v>381</v>
      </c>
      <c r="Q244" s="17" t="s">
        <v>380</v>
      </c>
      <c r="R244" s="46"/>
      <c r="S244" s="46"/>
      <c r="T244" s="46"/>
    </row>
    <row r="245" spans="1:20" hidden="1" x14ac:dyDescent="0.35">
      <c r="A245" s="46">
        <v>0.2</v>
      </c>
      <c r="B245" s="17" t="s">
        <v>19</v>
      </c>
      <c r="C245" s="17" t="s">
        <v>9</v>
      </c>
      <c r="K245" s="81" t="s">
        <v>462</v>
      </c>
      <c r="N245" s="17" t="s">
        <v>20</v>
      </c>
      <c r="O245" s="17" t="s">
        <v>4</v>
      </c>
      <c r="P245" s="17" t="s">
        <v>381</v>
      </c>
      <c r="Q245" s="17" t="s">
        <v>380</v>
      </c>
      <c r="R245" s="46"/>
      <c r="S245" s="46"/>
      <c r="T245" s="46"/>
    </row>
    <row r="246" spans="1:20" hidden="1" x14ac:dyDescent="0.35">
      <c r="A246" s="46">
        <v>0.2</v>
      </c>
      <c r="B246" s="17" t="s">
        <v>21</v>
      </c>
      <c r="C246" s="17" t="s">
        <v>9</v>
      </c>
      <c r="K246" s="81" t="s">
        <v>462</v>
      </c>
      <c r="N246" s="17" t="s">
        <v>14</v>
      </c>
      <c r="O246" s="17" t="s">
        <v>4</v>
      </c>
      <c r="P246" s="17" t="s">
        <v>382</v>
      </c>
      <c r="Q246" s="17" t="s">
        <v>380</v>
      </c>
      <c r="R246" s="46"/>
      <c r="S246" s="46"/>
      <c r="T246" s="46"/>
    </row>
    <row r="247" spans="1:20" hidden="1" x14ac:dyDescent="0.35">
      <c r="A247" s="46">
        <v>0.2</v>
      </c>
      <c r="B247" s="17" t="s">
        <v>22</v>
      </c>
      <c r="C247" s="17" t="s">
        <v>9</v>
      </c>
      <c r="K247" s="81" t="s">
        <v>462</v>
      </c>
      <c r="N247" s="17" t="s">
        <v>18</v>
      </c>
      <c r="O247" s="17" t="s">
        <v>4</v>
      </c>
      <c r="P247" s="17" t="s">
        <v>383</v>
      </c>
      <c r="Q247" s="17" t="s">
        <v>380</v>
      </c>
      <c r="R247" s="46"/>
      <c r="S247" s="46"/>
      <c r="T247" s="46"/>
    </row>
    <row r="248" spans="1:20" hidden="1" x14ac:dyDescent="0.35">
      <c r="A248" s="46">
        <v>0.2</v>
      </c>
      <c r="B248" s="17" t="s">
        <v>23</v>
      </c>
      <c r="C248" s="17" t="s">
        <v>9</v>
      </c>
      <c r="K248" s="81" t="s">
        <v>462</v>
      </c>
      <c r="N248" s="17" t="s">
        <v>14</v>
      </c>
      <c r="O248" s="17" t="s">
        <v>4</v>
      </c>
      <c r="P248" s="17" t="s">
        <v>384</v>
      </c>
      <c r="Q248" s="17" t="s">
        <v>380</v>
      </c>
      <c r="R248" s="46"/>
      <c r="S248" s="46"/>
      <c r="T248" s="46"/>
    </row>
    <row r="249" spans="1:20" hidden="1" x14ac:dyDescent="0.35">
      <c r="A249" s="46">
        <v>0.2</v>
      </c>
      <c r="B249" s="17" t="s">
        <v>24</v>
      </c>
      <c r="C249" s="17" t="s">
        <v>9</v>
      </c>
      <c r="K249" s="81" t="s">
        <v>462</v>
      </c>
      <c r="N249" s="17" t="s">
        <v>25</v>
      </c>
      <c r="O249" s="56"/>
      <c r="P249" s="17" t="s">
        <v>385</v>
      </c>
      <c r="Q249" s="17" t="s">
        <v>380</v>
      </c>
      <c r="R249" s="46"/>
      <c r="S249" s="46"/>
      <c r="T249" s="46"/>
    </row>
    <row r="250" spans="1:20" hidden="1" x14ac:dyDescent="0.35">
      <c r="A250" s="46">
        <v>0.2</v>
      </c>
      <c r="B250" s="17" t="s">
        <v>26</v>
      </c>
      <c r="C250" s="17" t="s">
        <v>9</v>
      </c>
      <c r="K250" s="81" t="s">
        <v>462</v>
      </c>
      <c r="N250" s="17" t="s">
        <v>27</v>
      </c>
      <c r="O250" s="56"/>
      <c r="P250" s="17" t="s">
        <v>386</v>
      </c>
      <c r="Q250" s="17" t="s">
        <v>380</v>
      </c>
      <c r="R250" s="46"/>
      <c r="S250" s="46"/>
      <c r="T250" s="46"/>
    </row>
    <row r="251" spans="1:20" hidden="1" x14ac:dyDescent="0.35">
      <c r="A251" s="46">
        <v>0.2</v>
      </c>
      <c r="B251" s="17" t="s">
        <v>28</v>
      </c>
      <c r="C251" s="17" t="s">
        <v>9</v>
      </c>
      <c r="K251" s="81" t="s">
        <v>462</v>
      </c>
      <c r="N251" s="17" t="s">
        <v>18</v>
      </c>
      <c r="O251" s="56"/>
      <c r="P251" s="17" t="s">
        <v>387</v>
      </c>
      <c r="Q251" s="17" t="s">
        <v>380</v>
      </c>
      <c r="R251" s="46"/>
      <c r="S251" s="46"/>
      <c r="T251" s="46"/>
    </row>
    <row r="252" spans="1:20" hidden="1" x14ac:dyDescent="0.35">
      <c r="A252" s="46">
        <v>0.2</v>
      </c>
      <c r="B252" s="17" t="s">
        <v>29</v>
      </c>
      <c r="C252" s="17" t="s">
        <v>9</v>
      </c>
      <c r="K252" s="81" t="s">
        <v>462</v>
      </c>
      <c r="N252" s="17" t="s">
        <v>18</v>
      </c>
      <c r="O252" s="56"/>
      <c r="P252" s="17" t="s">
        <v>388</v>
      </c>
      <c r="Q252" s="17" t="s">
        <v>380</v>
      </c>
      <c r="R252" s="46"/>
      <c r="S252" s="46"/>
      <c r="T252" s="46"/>
    </row>
    <row r="253" spans="1:20" hidden="1" x14ac:dyDescent="0.35">
      <c r="A253" s="46">
        <v>0.2</v>
      </c>
      <c r="B253" s="22" t="s">
        <v>30</v>
      </c>
      <c r="C253" s="22" t="s">
        <v>9</v>
      </c>
      <c r="K253" s="81" t="s">
        <v>462</v>
      </c>
      <c r="N253" s="17" t="s">
        <v>18</v>
      </c>
      <c r="O253" s="56"/>
      <c r="P253" s="17" t="s">
        <v>389</v>
      </c>
      <c r="Q253" s="17" t="s">
        <v>380</v>
      </c>
      <c r="R253" s="46"/>
      <c r="S253" s="46"/>
      <c r="T253" s="46"/>
    </row>
    <row r="254" spans="1:20" hidden="1" x14ac:dyDescent="0.35">
      <c r="A254" s="46">
        <v>0.2</v>
      </c>
      <c r="B254" s="17" t="s">
        <v>31</v>
      </c>
      <c r="C254" s="17" t="s">
        <v>9</v>
      </c>
      <c r="K254" s="81" t="s">
        <v>462</v>
      </c>
      <c r="N254" s="22" t="s">
        <v>18</v>
      </c>
      <c r="O254" s="56"/>
      <c r="P254" s="17" t="s">
        <v>390</v>
      </c>
      <c r="Q254" s="17" t="s">
        <v>380</v>
      </c>
      <c r="R254" s="46"/>
      <c r="S254" s="46"/>
      <c r="T254" s="46"/>
    </row>
    <row r="255" spans="1:20" hidden="1" x14ac:dyDescent="0.35">
      <c r="A255" s="46">
        <v>0.2</v>
      </c>
      <c r="B255" s="17" t="s">
        <v>32</v>
      </c>
      <c r="C255" s="24" t="s">
        <v>9</v>
      </c>
      <c r="K255" s="81" t="s">
        <v>462</v>
      </c>
      <c r="N255" s="22" t="s">
        <v>33</v>
      </c>
      <c r="O255" s="56"/>
      <c r="P255" s="17" t="s">
        <v>391</v>
      </c>
      <c r="Q255" s="17" t="s">
        <v>380</v>
      </c>
      <c r="R255" s="46"/>
      <c r="S255" s="46"/>
      <c r="T255" s="46"/>
    </row>
    <row r="256" spans="1:20" hidden="1" x14ac:dyDescent="0.35">
      <c r="A256" s="46">
        <v>0.2</v>
      </c>
      <c r="B256" s="49" t="s">
        <v>8</v>
      </c>
      <c r="C256" s="11" t="s">
        <v>34</v>
      </c>
      <c r="K256" s="81" t="s">
        <v>462</v>
      </c>
      <c r="N256" s="17" t="s">
        <v>10</v>
      </c>
      <c r="O256" s="17" t="s">
        <v>4</v>
      </c>
      <c r="P256" s="17" t="s">
        <v>392</v>
      </c>
      <c r="Q256" s="17" t="s">
        <v>380</v>
      </c>
      <c r="R256" s="46"/>
      <c r="S256" s="46"/>
      <c r="T256" s="46"/>
    </row>
    <row r="257" spans="1:20" hidden="1" x14ac:dyDescent="0.35">
      <c r="A257" s="46">
        <v>0.2</v>
      </c>
      <c r="B257" s="49" t="s">
        <v>13</v>
      </c>
      <c r="C257" s="11" t="s">
        <v>34</v>
      </c>
      <c r="K257" s="81" t="s">
        <v>462</v>
      </c>
      <c r="N257" s="17" t="s">
        <v>14</v>
      </c>
      <c r="O257" s="17" t="s">
        <v>4</v>
      </c>
      <c r="P257" s="17" t="s">
        <v>381</v>
      </c>
      <c r="Q257" s="17" t="s">
        <v>380</v>
      </c>
      <c r="R257" s="46"/>
      <c r="S257" s="46"/>
      <c r="T257" s="46"/>
    </row>
    <row r="258" spans="1:20" hidden="1" x14ac:dyDescent="0.35">
      <c r="A258" s="46">
        <v>0.2</v>
      </c>
      <c r="B258" s="49" t="s">
        <v>19</v>
      </c>
      <c r="C258" s="11" t="s">
        <v>34</v>
      </c>
      <c r="K258" s="81" t="s">
        <v>462</v>
      </c>
      <c r="N258" s="17" t="s">
        <v>20</v>
      </c>
      <c r="O258" s="17" t="s">
        <v>4</v>
      </c>
      <c r="P258" s="17" t="s">
        <v>381</v>
      </c>
      <c r="Q258" s="17" t="s">
        <v>380</v>
      </c>
      <c r="R258" s="46"/>
      <c r="S258" s="46"/>
      <c r="T258" s="46"/>
    </row>
    <row r="259" spans="1:20" hidden="1" x14ac:dyDescent="0.35">
      <c r="A259" s="46">
        <v>0.2</v>
      </c>
      <c r="B259" s="49" t="s">
        <v>21</v>
      </c>
      <c r="C259" s="11" t="s">
        <v>34</v>
      </c>
      <c r="K259" s="81" t="s">
        <v>462</v>
      </c>
      <c r="N259" s="17" t="s">
        <v>14</v>
      </c>
      <c r="O259" s="17" t="s">
        <v>4</v>
      </c>
      <c r="P259" s="17" t="s">
        <v>381</v>
      </c>
      <c r="Q259" s="17" t="s">
        <v>380</v>
      </c>
      <c r="R259" s="46"/>
      <c r="S259" s="46"/>
      <c r="T259" s="46"/>
    </row>
    <row r="260" spans="1:20" hidden="1" x14ac:dyDescent="0.35">
      <c r="A260" s="46">
        <v>0.2</v>
      </c>
      <c r="B260" s="49" t="s">
        <v>15</v>
      </c>
      <c r="C260" s="11" t="s">
        <v>34</v>
      </c>
      <c r="K260" s="81" t="s">
        <v>462</v>
      </c>
      <c r="N260" s="17" t="s">
        <v>16</v>
      </c>
      <c r="O260" s="17" t="s">
        <v>4</v>
      </c>
      <c r="P260" s="17" t="s">
        <v>381</v>
      </c>
      <c r="Q260" s="17" t="s">
        <v>380</v>
      </c>
      <c r="R260" s="46"/>
      <c r="S260" s="46"/>
      <c r="T260" s="46"/>
    </row>
    <row r="261" spans="1:20" hidden="1" x14ac:dyDescent="0.35">
      <c r="A261" s="46">
        <v>0.2</v>
      </c>
      <c r="B261" s="49" t="s">
        <v>17</v>
      </c>
      <c r="C261" s="11" t="s">
        <v>34</v>
      </c>
      <c r="K261" s="81" t="s">
        <v>462</v>
      </c>
      <c r="N261" s="17" t="s">
        <v>18</v>
      </c>
      <c r="O261" s="17" t="s">
        <v>4</v>
      </c>
      <c r="P261" s="17" t="s">
        <v>381</v>
      </c>
      <c r="Q261" s="17" t="s">
        <v>380</v>
      </c>
      <c r="R261" s="46"/>
      <c r="S261" s="46"/>
      <c r="T261" s="46"/>
    </row>
    <row r="262" spans="1:20" hidden="1" x14ac:dyDescent="0.35">
      <c r="A262" s="46">
        <v>0.2</v>
      </c>
      <c r="B262" s="49" t="s">
        <v>35</v>
      </c>
      <c r="C262" s="11" t="s">
        <v>34</v>
      </c>
      <c r="K262" s="81" t="s">
        <v>462</v>
      </c>
      <c r="N262" s="17" t="s">
        <v>36</v>
      </c>
      <c r="O262" s="17" t="s">
        <v>4</v>
      </c>
      <c r="P262" s="17" t="s">
        <v>381</v>
      </c>
      <c r="Q262" s="17" t="s">
        <v>380</v>
      </c>
      <c r="R262" s="46"/>
      <c r="S262" s="46"/>
      <c r="T262" s="46"/>
    </row>
    <row r="263" spans="1:20" hidden="1" x14ac:dyDescent="0.35">
      <c r="A263" s="46">
        <v>0.2</v>
      </c>
      <c r="B263" s="49" t="s">
        <v>22</v>
      </c>
      <c r="C263" s="11" t="s">
        <v>34</v>
      </c>
      <c r="K263" s="81" t="s">
        <v>462</v>
      </c>
      <c r="N263" s="17" t="s">
        <v>18</v>
      </c>
      <c r="O263" s="17" t="s">
        <v>4</v>
      </c>
      <c r="P263" s="17" t="s">
        <v>393</v>
      </c>
      <c r="Q263" s="17" t="s">
        <v>380</v>
      </c>
      <c r="R263" s="46"/>
      <c r="S263" s="46"/>
      <c r="T263" s="46"/>
    </row>
    <row r="264" spans="1:20" hidden="1" x14ac:dyDescent="0.35">
      <c r="A264" s="46">
        <v>0.2</v>
      </c>
      <c r="B264" s="49" t="s">
        <v>23</v>
      </c>
      <c r="C264" s="11" t="s">
        <v>34</v>
      </c>
      <c r="K264" s="81" t="s">
        <v>462</v>
      </c>
      <c r="N264" s="17" t="s">
        <v>14</v>
      </c>
      <c r="O264" s="17" t="s">
        <v>4</v>
      </c>
      <c r="P264" s="17" t="s">
        <v>381</v>
      </c>
      <c r="Q264" s="17" t="s">
        <v>380</v>
      </c>
      <c r="R264" s="46"/>
      <c r="S264" s="46"/>
      <c r="T264" s="46"/>
    </row>
    <row r="265" spans="1:20" hidden="1" x14ac:dyDescent="0.35">
      <c r="A265" s="46">
        <v>0.2</v>
      </c>
      <c r="B265" s="49" t="s">
        <v>37</v>
      </c>
      <c r="C265" s="11" t="s">
        <v>34</v>
      </c>
      <c r="K265" s="81" t="s">
        <v>462</v>
      </c>
      <c r="N265" s="17" t="s">
        <v>38</v>
      </c>
      <c r="O265" s="56"/>
      <c r="P265" s="17" t="s">
        <v>381</v>
      </c>
      <c r="Q265" s="17" t="s">
        <v>380</v>
      </c>
      <c r="R265" s="46"/>
      <c r="S265" s="46"/>
      <c r="T265" s="46"/>
    </row>
    <row r="266" spans="1:20" hidden="1" x14ac:dyDescent="0.35">
      <c r="A266" s="46">
        <v>0.2</v>
      </c>
      <c r="B266" s="49" t="s">
        <v>39</v>
      </c>
      <c r="C266" s="11" t="s">
        <v>34</v>
      </c>
      <c r="K266" s="81" t="s">
        <v>462</v>
      </c>
      <c r="N266" s="17" t="s">
        <v>25</v>
      </c>
      <c r="O266" s="56"/>
      <c r="P266" s="17" t="s">
        <v>381</v>
      </c>
      <c r="Q266" s="17" t="s">
        <v>380</v>
      </c>
      <c r="R266" s="46"/>
      <c r="S266" s="46"/>
      <c r="T266" s="46"/>
    </row>
    <row r="267" spans="1:20" hidden="1" x14ac:dyDescent="0.35">
      <c r="A267" s="46">
        <v>0.2</v>
      </c>
      <c r="B267" s="49" t="s">
        <v>40</v>
      </c>
      <c r="C267" s="11" t="s">
        <v>34</v>
      </c>
      <c r="K267" s="81" t="s">
        <v>462</v>
      </c>
      <c r="N267" s="17" t="s">
        <v>38</v>
      </c>
      <c r="O267" s="56"/>
      <c r="P267" s="17" t="s">
        <v>394</v>
      </c>
      <c r="Q267" s="17" t="s">
        <v>380</v>
      </c>
      <c r="R267" s="46"/>
      <c r="S267" s="46"/>
      <c r="T267" s="46"/>
    </row>
    <row r="268" spans="1:20" hidden="1" x14ac:dyDescent="0.35">
      <c r="A268" s="46">
        <v>0.2</v>
      </c>
      <c r="B268" s="49" t="s">
        <v>41</v>
      </c>
      <c r="C268" s="11" t="s">
        <v>34</v>
      </c>
      <c r="K268" s="81" t="s">
        <v>462</v>
      </c>
      <c r="N268" s="17" t="s">
        <v>38</v>
      </c>
      <c r="O268" s="56"/>
      <c r="P268" s="17" t="s">
        <v>395</v>
      </c>
      <c r="Q268" s="17" t="s">
        <v>380</v>
      </c>
      <c r="R268" s="46"/>
      <c r="S268" s="46"/>
      <c r="T268" s="46"/>
    </row>
    <row r="270" spans="1:20" x14ac:dyDescent="0.35">
      <c r="B270" s="87"/>
    </row>
    <row r="271" spans="1:20" x14ac:dyDescent="0.35">
      <c r="B271" s="87"/>
    </row>
    <row r="272" spans="1:20" x14ac:dyDescent="0.35">
      <c r="B272" s="87"/>
    </row>
    <row r="273" spans="1:3" x14ac:dyDescent="0.35">
      <c r="B273" s="87"/>
    </row>
    <row r="274" spans="1:3" x14ac:dyDescent="0.35">
      <c r="B274" s="87"/>
    </row>
    <row r="275" spans="1:3" x14ac:dyDescent="0.35">
      <c r="B275" s="87"/>
    </row>
    <row r="276" spans="1:3" x14ac:dyDescent="0.35">
      <c r="B276" s="87"/>
    </row>
    <row r="277" spans="1:3" x14ac:dyDescent="0.35">
      <c r="B277" s="87"/>
    </row>
    <row r="278" spans="1:3" x14ac:dyDescent="0.35">
      <c r="B278" s="87"/>
    </row>
    <row r="281" spans="1:3" x14ac:dyDescent="0.35">
      <c r="A281" s="90"/>
      <c r="B281" s="90"/>
      <c r="C281" s="90"/>
    </row>
  </sheetData>
  <autoFilter ref="A1:T268" xr:uid="{F29C756E-BC8C-4FF0-A402-E571CAAD0454}">
    <filterColumn colId="2">
      <filters>
        <filter val="Obligor"/>
      </filters>
    </filterColumn>
    <filterColumn colId="3">
      <filters>
        <filter val="N"/>
      </filters>
    </filterColumn>
  </autoFilter>
  <phoneticPr fontId="18" type="noConversion"/>
  <pageMargins left="0.7" right="0.7" top="0.75" bottom="0.75" header="0.3" footer="0.3"/>
  <customProperties>
    <customPr name="QAA_DRILLPATH_NODE_ID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B404-6D80-4150-9C36-FB503BE729E0}">
  <dimension ref="A1:G373"/>
  <sheetViews>
    <sheetView tabSelected="1" topLeftCell="B1" zoomScale="85" zoomScaleNormal="85" workbookViewId="0">
      <pane ySplit="1" topLeftCell="A2" activePane="bottomLeft" state="frozen"/>
      <selection activeCell="C1" sqref="C1"/>
      <selection pane="bottomLeft" activeCell="B1" sqref="B1"/>
    </sheetView>
  </sheetViews>
  <sheetFormatPr defaultRowHeight="14.5" x14ac:dyDescent="0.35"/>
  <cols>
    <col min="1" max="1" width="13.81640625" bestFit="1" customWidth="1"/>
    <col min="2" max="2" width="40.54296875" bestFit="1" customWidth="1"/>
    <col min="3" max="3" width="42.7265625" bestFit="1" customWidth="1"/>
    <col min="4" max="4" width="12.54296875" bestFit="1" customWidth="1"/>
    <col min="5" max="5" width="12.7265625" bestFit="1" customWidth="1"/>
    <col min="6" max="6" width="33" customWidth="1"/>
  </cols>
  <sheetData>
    <row r="1" spans="1:7" s="34" customFormat="1" ht="20.149999999999999" customHeight="1" x14ac:dyDescent="0.35">
      <c r="A1" s="35" t="s">
        <v>530</v>
      </c>
      <c r="B1" s="35" t="s">
        <v>774</v>
      </c>
      <c r="C1" s="35" t="s">
        <v>531</v>
      </c>
      <c r="D1" s="35" t="s">
        <v>532</v>
      </c>
      <c r="E1" s="34" t="s">
        <v>533</v>
      </c>
    </row>
    <row r="2" spans="1:7" x14ac:dyDescent="0.35">
      <c r="A2" s="13" t="s">
        <v>534</v>
      </c>
      <c r="B2" s="13" t="s">
        <v>535</v>
      </c>
      <c r="C2" s="13" t="s">
        <v>298</v>
      </c>
      <c r="D2" t="s">
        <v>536</v>
      </c>
      <c r="E2" s="37" t="b">
        <f>EXACT(C2,UPPER(C2))</f>
        <v>1</v>
      </c>
      <c r="F2" s="22"/>
      <c r="G2">
        <f>COUNTIF(C:C,F2)</f>
        <v>0</v>
      </c>
    </row>
    <row r="3" spans="1:7" x14ac:dyDescent="0.35">
      <c r="A3" s="13" t="s">
        <v>534</v>
      </c>
      <c r="B3" s="13" t="s">
        <v>535</v>
      </c>
      <c r="C3" s="13" t="s">
        <v>301</v>
      </c>
      <c r="D3" t="s">
        <v>537</v>
      </c>
      <c r="E3" s="37" t="b">
        <f>EXACT(C3,UPPER(C3))</f>
        <v>1</v>
      </c>
      <c r="F3" s="22"/>
      <c r="G3">
        <f>COUNTIF(C:C,F3)</f>
        <v>0</v>
      </c>
    </row>
    <row r="4" spans="1:7" x14ac:dyDescent="0.35">
      <c r="A4" s="13" t="s">
        <v>534</v>
      </c>
      <c r="B4" s="13" t="s">
        <v>535</v>
      </c>
      <c r="C4" s="13" t="s">
        <v>304</v>
      </c>
      <c r="D4" t="s">
        <v>538</v>
      </c>
      <c r="E4" s="37" t="b">
        <f>EXACT(C4,UPPER(C4))</f>
        <v>1</v>
      </c>
      <c r="F4" s="22"/>
      <c r="G4">
        <f t="shared" ref="G4" si="0">COUNTIF(C:C,F4)</f>
        <v>0</v>
      </c>
    </row>
    <row r="5" spans="1:7" x14ac:dyDescent="0.35">
      <c r="A5" s="13" t="s">
        <v>534</v>
      </c>
      <c r="B5" s="13" t="s">
        <v>535</v>
      </c>
      <c r="C5" s="13" t="s">
        <v>190</v>
      </c>
      <c r="D5" t="s">
        <v>536</v>
      </c>
      <c r="E5" s="37" t="b">
        <f t="shared" ref="E5:E68" si="1">EXACT(C5,UPPER(C5))</f>
        <v>1</v>
      </c>
      <c r="F5" s="22"/>
      <c r="G5">
        <f t="shared" ref="G5:G36" si="2">COUNTIF(C:C,F5)</f>
        <v>0</v>
      </c>
    </row>
    <row r="6" spans="1:7" x14ac:dyDescent="0.35">
      <c r="A6" s="13" t="s">
        <v>534</v>
      </c>
      <c r="B6" s="13" t="s">
        <v>535</v>
      </c>
      <c r="C6" s="13" t="s">
        <v>186</v>
      </c>
      <c r="D6" t="s">
        <v>539</v>
      </c>
      <c r="E6" s="37" t="b">
        <f t="shared" si="1"/>
        <v>1</v>
      </c>
      <c r="F6" s="22"/>
      <c r="G6">
        <f t="shared" si="2"/>
        <v>0</v>
      </c>
    </row>
    <row r="7" spans="1:7" x14ac:dyDescent="0.35">
      <c r="A7" s="13" t="s">
        <v>534</v>
      </c>
      <c r="B7" s="13" t="s">
        <v>535</v>
      </c>
      <c r="C7" s="13" t="s">
        <v>188</v>
      </c>
      <c r="D7" t="s">
        <v>538</v>
      </c>
      <c r="E7" s="37" t="b">
        <f t="shared" si="1"/>
        <v>1</v>
      </c>
      <c r="F7" s="22"/>
      <c r="G7">
        <f t="shared" si="2"/>
        <v>0</v>
      </c>
    </row>
    <row r="8" spans="1:7" x14ac:dyDescent="0.35">
      <c r="A8" s="13" t="s">
        <v>534</v>
      </c>
      <c r="B8" s="13" t="s">
        <v>540</v>
      </c>
      <c r="C8" s="13" t="s">
        <v>541</v>
      </c>
      <c r="D8" t="s">
        <v>542</v>
      </c>
      <c r="E8" s="37" t="b">
        <f t="shared" si="1"/>
        <v>1</v>
      </c>
      <c r="F8" s="22"/>
      <c r="G8">
        <f t="shared" si="2"/>
        <v>0</v>
      </c>
    </row>
    <row r="9" spans="1:7" x14ac:dyDescent="0.35">
      <c r="A9" s="13" t="s">
        <v>534</v>
      </c>
      <c r="B9" s="13" t="s">
        <v>540</v>
      </c>
      <c r="C9" s="13" t="s">
        <v>298</v>
      </c>
      <c r="D9" t="s">
        <v>536</v>
      </c>
      <c r="E9" s="37" t="b">
        <f t="shared" si="1"/>
        <v>1</v>
      </c>
      <c r="F9" s="17"/>
      <c r="G9">
        <f t="shared" si="2"/>
        <v>0</v>
      </c>
    </row>
    <row r="10" spans="1:7" x14ac:dyDescent="0.35">
      <c r="A10" s="13" t="s">
        <v>534</v>
      </c>
      <c r="B10" s="13" t="s">
        <v>540</v>
      </c>
      <c r="C10" s="13" t="s">
        <v>301</v>
      </c>
      <c r="D10" t="s">
        <v>543</v>
      </c>
      <c r="E10" s="37" t="b">
        <f t="shared" si="1"/>
        <v>1</v>
      </c>
      <c r="F10" s="1"/>
      <c r="G10">
        <f t="shared" si="2"/>
        <v>0</v>
      </c>
    </row>
    <row r="11" spans="1:7" x14ac:dyDescent="0.35">
      <c r="A11" s="13" t="s">
        <v>534</v>
      </c>
      <c r="B11" s="13" t="s">
        <v>540</v>
      </c>
      <c r="C11" s="13" t="s">
        <v>304</v>
      </c>
      <c r="D11" t="s">
        <v>538</v>
      </c>
      <c r="E11" s="37" t="b">
        <f t="shared" si="1"/>
        <v>1</v>
      </c>
      <c r="F11" s="1"/>
      <c r="G11">
        <f t="shared" si="2"/>
        <v>0</v>
      </c>
    </row>
    <row r="12" spans="1:7" x14ac:dyDescent="0.35">
      <c r="A12" s="13" t="s">
        <v>534</v>
      </c>
      <c r="B12" s="13" t="s">
        <v>540</v>
      </c>
      <c r="C12" s="13" t="s">
        <v>190</v>
      </c>
      <c r="D12" t="s">
        <v>536</v>
      </c>
      <c r="E12" s="37" t="b">
        <f t="shared" si="1"/>
        <v>1</v>
      </c>
      <c r="F12" s="1"/>
      <c r="G12">
        <f t="shared" si="2"/>
        <v>0</v>
      </c>
    </row>
    <row r="13" spans="1:7" x14ac:dyDescent="0.35">
      <c r="A13" s="13" t="s">
        <v>534</v>
      </c>
      <c r="B13" s="13" t="s">
        <v>540</v>
      </c>
      <c r="C13" s="13" t="s">
        <v>186</v>
      </c>
      <c r="D13" t="s">
        <v>539</v>
      </c>
      <c r="E13" s="37" t="b">
        <f t="shared" si="1"/>
        <v>1</v>
      </c>
      <c r="F13" s="1"/>
      <c r="G13">
        <f t="shared" si="2"/>
        <v>0</v>
      </c>
    </row>
    <row r="14" spans="1:7" x14ac:dyDescent="0.35">
      <c r="A14" s="13" t="s">
        <v>534</v>
      </c>
      <c r="B14" s="13" t="s">
        <v>540</v>
      </c>
      <c r="C14" s="13" t="s">
        <v>188</v>
      </c>
      <c r="D14" t="s">
        <v>538</v>
      </c>
      <c r="E14" s="37" t="b">
        <f t="shared" si="1"/>
        <v>1</v>
      </c>
      <c r="F14" s="1"/>
      <c r="G14">
        <f t="shared" si="2"/>
        <v>0</v>
      </c>
    </row>
    <row r="15" spans="1:7" x14ac:dyDescent="0.35">
      <c r="A15" s="13" t="s">
        <v>534</v>
      </c>
      <c r="B15" s="13" t="s">
        <v>544</v>
      </c>
      <c r="C15" s="13" t="s">
        <v>318</v>
      </c>
      <c r="D15" t="s">
        <v>536</v>
      </c>
      <c r="E15" s="37" t="b">
        <f t="shared" si="1"/>
        <v>1</v>
      </c>
      <c r="F15" s="1"/>
      <c r="G15">
        <f t="shared" si="2"/>
        <v>0</v>
      </c>
    </row>
    <row r="16" spans="1:7" x14ac:dyDescent="0.35">
      <c r="A16" s="13" t="s">
        <v>534</v>
      </c>
      <c r="B16" s="13" t="s">
        <v>544</v>
      </c>
      <c r="C16" s="13" t="s">
        <v>321</v>
      </c>
      <c r="D16" t="s">
        <v>537</v>
      </c>
      <c r="E16" s="37" t="b">
        <f t="shared" si="1"/>
        <v>1</v>
      </c>
      <c r="F16" s="1"/>
      <c r="G16">
        <f t="shared" si="2"/>
        <v>0</v>
      </c>
    </row>
    <row r="17" spans="1:7" x14ac:dyDescent="0.35">
      <c r="A17" s="13" t="s">
        <v>534</v>
      </c>
      <c r="B17" s="13" t="s">
        <v>544</v>
      </c>
      <c r="C17" s="13" t="s">
        <v>323</v>
      </c>
      <c r="D17" t="s">
        <v>538</v>
      </c>
      <c r="E17" s="37" t="b">
        <f t="shared" si="1"/>
        <v>1</v>
      </c>
      <c r="F17" s="1"/>
      <c r="G17">
        <f t="shared" si="2"/>
        <v>0</v>
      </c>
    </row>
    <row r="18" spans="1:7" x14ac:dyDescent="0.35">
      <c r="A18" s="13" t="s">
        <v>534</v>
      </c>
      <c r="B18" s="13" t="s">
        <v>544</v>
      </c>
      <c r="C18" s="13" t="s">
        <v>190</v>
      </c>
      <c r="D18" t="s">
        <v>536</v>
      </c>
      <c r="E18" s="37" t="b">
        <f t="shared" si="1"/>
        <v>1</v>
      </c>
      <c r="F18" s="1"/>
      <c r="G18">
        <f t="shared" si="2"/>
        <v>0</v>
      </c>
    </row>
    <row r="19" spans="1:7" x14ac:dyDescent="0.35">
      <c r="A19" s="13" t="s">
        <v>534</v>
      </c>
      <c r="B19" s="13" t="s">
        <v>544</v>
      </c>
      <c r="C19" s="13" t="s">
        <v>186</v>
      </c>
      <c r="D19" t="s">
        <v>539</v>
      </c>
      <c r="E19" s="37" t="b">
        <f t="shared" si="1"/>
        <v>1</v>
      </c>
      <c r="F19" s="1"/>
      <c r="G19">
        <f t="shared" si="2"/>
        <v>0</v>
      </c>
    </row>
    <row r="20" spans="1:7" x14ac:dyDescent="0.35">
      <c r="A20" s="13" t="s">
        <v>534</v>
      </c>
      <c r="B20" s="13" t="s">
        <v>544</v>
      </c>
      <c r="C20" s="13" t="s">
        <v>188</v>
      </c>
      <c r="D20" t="s">
        <v>538</v>
      </c>
      <c r="E20" s="37" t="b">
        <f t="shared" si="1"/>
        <v>1</v>
      </c>
      <c r="F20" s="1"/>
      <c r="G20">
        <f t="shared" si="2"/>
        <v>0</v>
      </c>
    </row>
    <row r="21" spans="1:7" x14ac:dyDescent="0.35">
      <c r="A21" s="13" t="s">
        <v>534</v>
      </c>
      <c r="B21" s="13" t="s">
        <v>545</v>
      </c>
      <c r="C21" s="13" t="s">
        <v>546</v>
      </c>
      <c r="D21" s="13" t="s">
        <v>547</v>
      </c>
      <c r="E21" s="37" t="b">
        <f t="shared" si="1"/>
        <v>1</v>
      </c>
      <c r="F21" s="1"/>
      <c r="G21">
        <f t="shared" si="2"/>
        <v>0</v>
      </c>
    </row>
    <row r="22" spans="1:7" x14ac:dyDescent="0.35">
      <c r="A22" s="13" t="s">
        <v>534</v>
      </c>
      <c r="B22" s="13" t="s">
        <v>545</v>
      </c>
      <c r="C22" s="13" t="s">
        <v>298</v>
      </c>
      <c r="D22" s="13" t="s">
        <v>536</v>
      </c>
      <c r="E22" s="37" t="b">
        <f t="shared" si="1"/>
        <v>1</v>
      </c>
      <c r="F22" s="1"/>
      <c r="G22">
        <f t="shared" si="2"/>
        <v>0</v>
      </c>
    </row>
    <row r="23" spans="1:7" x14ac:dyDescent="0.35">
      <c r="A23" s="13" t="s">
        <v>534</v>
      </c>
      <c r="B23" s="13" t="s">
        <v>545</v>
      </c>
      <c r="C23" s="13" t="s">
        <v>301</v>
      </c>
      <c r="D23" s="13" t="s">
        <v>537</v>
      </c>
      <c r="E23" s="37" t="b">
        <f t="shared" si="1"/>
        <v>1</v>
      </c>
      <c r="F23" s="1"/>
      <c r="G23">
        <f t="shared" si="2"/>
        <v>0</v>
      </c>
    </row>
    <row r="24" spans="1:7" x14ac:dyDescent="0.35">
      <c r="A24" s="13" t="s">
        <v>534</v>
      </c>
      <c r="B24" s="13" t="s">
        <v>545</v>
      </c>
      <c r="C24" s="13" t="s">
        <v>304</v>
      </c>
      <c r="D24" s="13" t="s">
        <v>538</v>
      </c>
      <c r="E24" s="37" t="b">
        <f t="shared" si="1"/>
        <v>1</v>
      </c>
      <c r="F24" s="1"/>
      <c r="G24">
        <f t="shared" si="2"/>
        <v>0</v>
      </c>
    </row>
    <row r="25" spans="1:7" x14ac:dyDescent="0.35">
      <c r="A25" s="13" t="s">
        <v>534</v>
      </c>
      <c r="B25" s="13" t="s">
        <v>545</v>
      </c>
      <c r="C25" s="13" t="s">
        <v>318</v>
      </c>
      <c r="D25" s="13" t="s">
        <v>536</v>
      </c>
      <c r="E25" s="37" t="b">
        <f t="shared" si="1"/>
        <v>1</v>
      </c>
      <c r="F25" s="1"/>
      <c r="G25">
        <f t="shared" si="2"/>
        <v>0</v>
      </c>
    </row>
    <row r="26" spans="1:7" x14ac:dyDescent="0.35">
      <c r="A26" s="13" t="s">
        <v>534</v>
      </c>
      <c r="B26" s="13" t="s">
        <v>545</v>
      </c>
      <c r="C26" s="13" t="s">
        <v>321</v>
      </c>
      <c r="D26" s="13" t="s">
        <v>537</v>
      </c>
      <c r="E26" s="37" t="b">
        <f t="shared" si="1"/>
        <v>1</v>
      </c>
      <c r="F26" s="1"/>
      <c r="G26">
        <f t="shared" si="2"/>
        <v>0</v>
      </c>
    </row>
    <row r="27" spans="1:7" x14ac:dyDescent="0.35">
      <c r="A27" s="13" t="s">
        <v>534</v>
      </c>
      <c r="B27" s="13" t="s">
        <v>545</v>
      </c>
      <c r="C27" s="13" t="s">
        <v>323</v>
      </c>
      <c r="D27" s="13" t="s">
        <v>538</v>
      </c>
      <c r="E27" s="37" t="b">
        <f t="shared" si="1"/>
        <v>1</v>
      </c>
      <c r="F27" s="1"/>
      <c r="G27">
        <f t="shared" si="2"/>
        <v>0</v>
      </c>
    </row>
    <row r="28" spans="1:7" x14ac:dyDescent="0.35">
      <c r="A28" s="13" t="s">
        <v>534</v>
      </c>
      <c r="B28" s="13" t="s">
        <v>548</v>
      </c>
      <c r="C28" s="13" t="s">
        <v>298</v>
      </c>
      <c r="D28" s="13" t="s">
        <v>536</v>
      </c>
      <c r="E28" s="37" t="b">
        <f t="shared" si="1"/>
        <v>1</v>
      </c>
      <c r="F28" s="1"/>
      <c r="G28">
        <f t="shared" si="2"/>
        <v>0</v>
      </c>
    </row>
    <row r="29" spans="1:7" x14ac:dyDescent="0.35">
      <c r="A29" s="13" t="s">
        <v>534</v>
      </c>
      <c r="B29" s="13" t="s">
        <v>548</v>
      </c>
      <c r="C29" s="13" t="s">
        <v>301</v>
      </c>
      <c r="D29" s="13" t="s">
        <v>543</v>
      </c>
      <c r="E29" s="37" t="b">
        <f t="shared" si="1"/>
        <v>1</v>
      </c>
      <c r="F29" s="1"/>
      <c r="G29">
        <f t="shared" si="2"/>
        <v>0</v>
      </c>
    </row>
    <row r="30" spans="1:7" x14ac:dyDescent="0.35">
      <c r="A30" s="13" t="s">
        <v>534</v>
      </c>
      <c r="B30" s="13" t="s">
        <v>548</v>
      </c>
      <c r="C30" s="13" t="s">
        <v>304</v>
      </c>
      <c r="D30" s="13" t="s">
        <v>538</v>
      </c>
      <c r="E30" s="37" t="b">
        <f t="shared" si="1"/>
        <v>1</v>
      </c>
      <c r="F30" s="1"/>
      <c r="G30">
        <f t="shared" si="2"/>
        <v>0</v>
      </c>
    </row>
    <row r="31" spans="1:7" x14ac:dyDescent="0.35">
      <c r="A31" s="13" t="s">
        <v>534</v>
      </c>
      <c r="B31" s="13" t="s">
        <v>548</v>
      </c>
      <c r="C31" s="13" t="s">
        <v>318</v>
      </c>
      <c r="D31" s="13" t="s">
        <v>536</v>
      </c>
      <c r="E31" s="37" t="b">
        <f t="shared" si="1"/>
        <v>1</v>
      </c>
      <c r="F31" s="1"/>
      <c r="G31">
        <f t="shared" si="2"/>
        <v>0</v>
      </c>
    </row>
    <row r="32" spans="1:7" x14ac:dyDescent="0.35">
      <c r="A32" s="13" t="s">
        <v>534</v>
      </c>
      <c r="B32" s="13" t="s">
        <v>548</v>
      </c>
      <c r="C32" s="13" t="s">
        <v>321</v>
      </c>
      <c r="D32" s="13" t="s">
        <v>537</v>
      </c>
      <c r="E32" s="37" t="b">
        <f t="shared" si="1"/>
        <v>1</v>
      </c>
      <c r="F32" s="1"/>
      <c r="G32">
        <f t="shared" si="2"/>
        <v>0</v>
      </c>
    </row>
    <row r="33" spans="1:7" x14ac:dyDescent="0.35">
      <c r="A33" s="13" t="s">
        <v>534</v>
      </c>
      <c r="B33" s="13" t="s">
        <v>548</v>
      </c>
      <c r="C33" s="13" t="s">
        <v>323</v>
      </c>
      <c r="D33" s="13" t="s">
        <v>538</v>
      </c>
      <c r="E33" s="37" t="b">
        <f t="shared" si="1"/>
        <v>1</v>
      </c>
      <c r="F33" s="1"/>
      <c r="G33">
        <f t="shared" si="2"/>
        <v>0</v>
      </c>
    </row>
    <row r="34" spans="1:7" x14ac:dyDescent="0.35">
      <c r="A34" s="13" t="s">
        <v>534</v>
      </c>
      <c r="B34" s="13" t="s">
        <v>548</v>
      </c>
      <c r="C34" s="13" t="s">
        <v>549</v>
      </c>
      <c r="D34" s="13" t="s">
        <v>542</v>
      </c>
      <c r="E34" s="37" t="b">
        <f t="shared" si="1"/>
        <v>1</v>
      </c>
      <c r="F34" s="1"/>
      <c r="G34">
        <f t="shared" si="2"/>
        <v>0</v>
      </c>
    </row>
    <row r="35" spans="1:7" x14ac:dyDescent="0.35">
      <c r="A35" s="13" t="s">
        <v>534</v>
      </c>
      <c r="B35" s="13" t="s">
        <v>550</v>
      </c>
      <c r="C35" s="13" t="s">
        <v>551</v>
      </c>
      <c r="D35" s="13" t="s">
        <v>542</v>
      </c>
      <c r="E35" s="37" t="b">
        <f t="shared" si="1"/>
        <v>1</v>
      </c>
      <c r="F35" s="1"/>
      <c r="G35">
        <f t="shared" si="2"/>
        <v>0</v>
      </c>
    </row>
    <row r="36" spans="1:7" x14ac:dyDescent="0.35">
      <c r="A36" s="13" t="s">
        <v>534</v>
      </c>
      <c r="B36" s="13" t="s">
        <v>550</v>
      </c>
      <c r="C36" s="13" t="s">
        <v>318</v>
      </c>
      <c r="D36" s="13" t="s">
        <v>536</v>
      </c>
      <c r="E36" s="37" t="b">
        <f t="shared" si="1"/>
        <v>1</v>
      </c>
      <c r="F36" s="1"/>
      <c r="G36">
        <f t="shared" si="2"/>
        <v>0</v>
      </c>
    </row>
    <row r="37" spans="1:7" x14ac:dyDescent="0.35">
      <c r="A37" s="13" t="s">
        <v>534</v>
      </c>
      <c r="B37" s="13" t="s">
        <v>550</v>
      </c>
      <c r="C37" s="13" t="s">
        <v>321</v>
      </c>
      <c r="D37" s="13" t="s">
        <v>537</v>
      </c>
      <c r="E37" s="37" t="b">
        <f t="shared" si="1"/>
        <v>1</v>
      </c>
      <c r="F37" s="1"/>
      <c r="G37">
        <f t="shared" ref="G37:G68" si="3">COUNTIF(C:C,F37)</f>
        <v>0</v>
      </c>
    </row>
    <row r="38" spans="1:7" x14ac:dyDescent="0.35">
      <c r="A38" s="13" t="s">
        <v>534</v>
      </c>
      <c r="B38" s="13" t="s">
        <v>550</v>
      </c>
      <c r="C38" s="13" t="s">
        <v>323</v>
      </c>
      <c r="D38" s="13" t="s">
        <v>538</v>
      </c>
      <c r="E38" s="37" t="b">
        <f t="shared" si="1"/>
        <v>1</v>
      </c>
      <c r="F38" s="1"/>
      <c r="G38">
        <f t="shared" si="3"/>
        <v>0</v>
      </c>
    </row>
    <row r="39" spans="1:7" x14ac:dyDescent="0.35">
      <c r="A39" s="13" t="s">
        <v>534</v>
      </c>
      <c r="B39" s="13" t="s">
        <v>550</v>
      </c>
      <c r="C39" s="13" t="s">
        <v>190</v>
      </c>
      <c r="D39" s="13" t="s">
        <v>536</v>
      </c>
      <c r="E39" s="37" t="b">
        <f t="shared" si="1"/>
        <v>1</v>
      </c>
      <c r="F39" s="1"/>
      <c r="G39">
        <f t="shared" si="3"/>
        <v>0</v>
      </c>
    </row>
    <row r="40" spans="1:7" x14ac:dyDescent="0.35">
      <c r="A40" s="13" t="s">
        <v>534</v>
      </c>
      <c r="B40" s="13" t="s">
        <v>550</v>
      </c>
      <c r="C40" s="13" t="s">
        <v>186</v>
      </c>
      <c r="D40" s="13" t="s">
        <v>539</v>
      </c>
      <c r="E40" s="37" t="b">
        <f t="shared" si="1"/>
        <v>1</v>
      </c>
      <c r="F40" s="1"/>
      <c r="G40">
        <f t="shared" si="3"/>
        <v>0</v>
      </c>
    </row>
    <row r="41" spans="1:7" x14ac:dyDescent="0.35">
      <c r="A41" s="13" t="s">
        <v>534</v>
      </c>
      <c r="B41" s="13" t="s">
        <v>550</v>
      </c>
      <c r="C41" s="13" t="s">
        <v>188</v>
      </c>
      <c r="D41" s="13" t="s">
        <v>538</v>
      </c>
      <c r="E41" s="37" t="b">
        <f t="shared" si="1"/>
        <v>1</v>
      </c>
      <c r="F41" s="1"/>
      <c r="G41">
        <f t="shared" si="3"/>
        <v>0</v>
      </c>
    </row>
    <row r="42" spans="1:7" x14ac:dyDescent="0.35">
      <c r="A42" s="13" t="s">
        <v>534</v>
      </c>
      <c r="B42" s="13" t="s">
        <v>552</v>
      </c>
      <c r="C42" s="13" t="s">
        <v>298</v>
      </c>
      <c r="D42" s="13" t="s">
        <v>536</v>
      </c>
      <c r="E42" s="37" t="b">
        <f t="shared" si="1"/>
        <v>1</v>
      </c>
      <c r="F42" s="1"/>
      <c r="G42">
        <f t="shared" si="3"/>
        <v>0</v>
      </c>
    </row>
    <row r="43" spans="1:7" x14ac:dyDescent="0.35">
      <c r="A43" s="13" t="s">
        <v>534</v>
      </c>
      <c r="B43" s="13" t="s">
        <v>552</v>
      </c>
      <c r="C43" s="13" t="s">
        <v>553</v>
      </c>
      <c r="D43" s="13" t="s">
        <v>538</v>
      </c>
      <c r="E43" s="37" t="b">
        <f t="shared" si="1"/>
        <v>1</v>
      </c>
      <c r="F43" s="1"/>
      <c r="G43">
        <f t="shared" si="3"/>
        <v>0</v>
      </c>
    </row>
    <row r="44" spans="1:7" x14ac:dyDescent="0.35">
      <c r="A44" s="13" t="s">
        <v>534</v>
      </c>
      <c r="B44" s="13" t="s">
        <v>552</v>
      </c>
      <c r="C44" s="13" t="s">
        <v>310</v>
      </c>
      <c r="D44" s="13" t="s">
        <v>554</v>
      </c>
      <c r="E44" s="37" t="b">
        <f t="shared" si="1"/>
        <v>1</v>
      </c>
      <c r="F44" s="1"/>
      <c r="G44">
        <f t="shared" si="3"/>
        <v>0</v>
      </c>
    </row>
    <row r="45" spans="1:7" x14ac:dyDescent="0.35">
      <c r="A45" s="13" t="s">
        <v>534</v>
      </c>
      <c r="B45" s="13" t="s">
        <v>552</v>
      </c>
      <c r="C45" s="13" t="s">
        <v>555</v>
      </c>
      <c r="D45" s="13" t="s">
        <v>556</v>
      </c>
      <c r="E45" s="37" t="b">
        <f t="shared" si="1"/>
        <v>1</v>
      </c>
      <c r="F45" s="1"/>
      <c r="G45">
        <f t="shared" si="3"/>
        <v>0</v>
      </c>
    </row>
    <row r="46" spans="1:7" x14ac:dyDescent="0.35">
      <c r="A46" s="13" t="s">
        <v>534</v>
      </c>
      <c r="B46" s="13" t="s">
        <v>552</v>
      </c>
      <c r="C46" s="13" t="s">
        <v>306</v>
      </c>
      <c r="D46" s="13" t="s">
        <v>542</v>
      </c>
      <c r="E46" s="37" t="b">
        <f t="shared" si="1"/>
        <v>1</v>
      </c>
      <c r="F46" s="1"/>
      <c r="G46">
        <f t="shared" si="3"/>
        <v>0</v>
      </c>
    </row>
    <row r="47" spans="1:7" x14ac:dyDescent="0.35">
      <c r="A47" s="13" t="s">
        <v>534</v>
      </c>
      <c r="B47" s="13" t="s">
        <v>552</v>
      </c>
      <c r="C47" s="13" t="s">
        <v>301</v>
      </c>
      <c r="D47" s="13" t="s">
        <v>537</v>
      </c>
      <c r="E47" s="37" t="b">
        <f t="shared" si="1"/>
        <v>1</v>
      </c>
      <c r="F47" s="1"/>
      <c r="G47">
        <f t="shared" si="3"/>
        <v>0</v>
      </c>
    </row>
    <row r="48" spans="1:7" x14ac:dyDescent="0.35">
      <c r="A48" s="13" t="s">
        <v>534</v>
      </c>
      <c r="B48" s="13" t="s">
        <v>552</v>
      </c>
      <c r="C48" s="13" t="s">
        <v>304</v>
      </c>
      <c r="D48" s="13" t="s">
        <v>538</v>
      </c>
      <c r="E48" s="37" t="b">
        <f t="shared" si="1"/>
        <v>1</v>
      </c>
      <c r="F48" s="1"/>
      <c r="G48">
        <f t="shared" si="3"/>
        <v>0</v>
      </c>
    </row>
    <row r="49" spans="1:7" x14ac:dyDescent="0.35">
      <c r="A49" s="13" t="s">
        <v>534</v>
      </c>
      <c r="B49" s="13" t="s">
        <v>552</v>
      </c>
      <c r="C49" s="13" t="s">
        <v>308</v>
      </c>
      <c r="D49" s="13" t="s">
        <v>554</v>
      </c>
      <c r="E49" s="37" t="b">
        <f t="shared" si="1"/>
        <v>1</v>
      </c>
      <c r="F49" s="1"/>
      <c r="G49">
        <f t="shared" si="3"/>
        <v>0</v>
      </c>
    </row>
    <row r="50" spans="1:7" x14ac:dyDescent="0.35">
      <c r="A50" s="13" t="s">
        <v>534</v>
      </c>
      <c r="B50" s="13" t="s">
        <v>552</v>
      </c>
      <c r="C50" s="13" t="s">
        <v>557</v>
      </c>
      <c r="D50" s="13" t="s">
        <v>558</v>
      </c>
      <c r="E50" s="37" t="b">
        <f t="shared" si="1"/>
        <v>1</v>
      </c>
      <c r="F50" s="1"/>
      <c r="G50">
        <f t="shared" si="3"/>
        <v>0</v>
      </c>
    </row>
    <row r="51" spans="1:7" x14ac:dyDescent="0.35">
      <c r="A51" s="13" t="s">
        <v>534</v>
      </c>
      <c r="B51" s="13" t="s">
        <v>559</v>
      </c>
      <c r="C51" s="13" t="s">
        <v>365</v>
      </c>
      <c r="D51" s="13" t="s">
        <v>560</v>
      </c>
      <c r="E51" s="37" t="b">
        <f t="shared" si="1"/>
        <v>1</v>
      </c>
      <c r="F51" s="1"/>
      <c r="G51">
        <f t="shared" si="3"/>
        <v>0</v>
      </c>
    </row>
    <row r="52" spans="1:7" x14ac:dyDescent="0.35">
      <c r="A52" s="13" t="s">
        <v>534</v>
      </c>
      <c r="B52" s="13" t="s">
        <v>559</v>
      </c>
      <c r="C52" s="13" t="s">
        <v>354</v>
      </c>
      <c r="D52" s="13" t="s">
        <v>536</v>
      </c>
      <c r="E52" s="37" t="b">
        <f t="shared" si="1"/>
        <v>1</v>
      </c>
      <c r="F52" s="1"/>
      <c r="G52">
        <f t="shared" si="3"/>
        <v>0</v>
      </c>
    </row>
    <row r="53" spans="1:7" x14ac:dyDescent="0.35">
      <c r="A53" s="13" t="s">
        <v>534</v>
      </c>
      <c r="B53" s="13" t="s">
        <v>559</v>
      </c>
      <c r="C53" s="13" t="s">
        <v>561</v>
      </c>
      <c r="D53" s="13" t="s">
        <v>562</v>
      </c>
      <c r="E53" s="37" t="b">
        <f t="shared" si="1"/>
        <v>1</v>
      </c>
      <c r="F53" s="1"/>
      <c r="G53">
        <f t="shared" si="3"/>
        <v>0</v>
      </c>
    </row>
    <row r="54" spans="1:7" x14ac:dyDescent="0.35">
      <c r="A54" s="13" t="s">
        <v>534</v>
      </c>
      <c r="B54" s="13" t="s">
        <v>559</v>
      </c>
      <c r="C54" s="13" t="s">
        <v>360</v>
      </c>
      <c r="D54" s="13" t="s">
        <v>560</v>
      </c>
      <c r="E54" s="37" t="b">
        <f t="shared" si="1"/>
        <v>1</v>
      </c>
      <c r="F54" s="1"/>
      <c r="G54">
        <f t="shared" si="3"/>
        <v>0</v>
      </c>
    </row>
    <row r="55" spans="1:7" x14ac:dyDescent="0.35">
      <c r="A55" s="13" t="s">
        <v>534</v>
      </c>
      <c r="B55" s="13" t="s">
        <v>559</v>
      </c>
      <c r="C55" s="13" t="s">
        <v>363</v>
      </c>
      <c r="D55" s="13" t="s">
        <v>554</v>
      </c>
      <c r="E55" s="37" t="b">
        <f t="shared" si="1"/>
        <v>1</v>
      </c>
      <c r="F55" s="1"/>
      <c r="G55">
        <f t="shared" si="3"/>
        <v>0</v>
      </c>
    </row>
    <row r="56" spans="1:7" x14ac:dyDescent="0.35">
      <c r="A56" s="13" t="s">
        <v>534</v>
      </c>
      <c r="B56" s="13" t="s">
        <v>559</v>
      </c>
      <c r="C56" s="13" t="s">
        <v>348</v>
      </c>
      <c r="D56" s="13" t="s">
        <v>539</v>
      </c>
      <c r="E56" s="37" t="b">
        <f t="shared" si="1"/>
        <v>1</v>
      </c>
      <c r="F56" s="1"/>
      <c r="G56">
        <f t="shared" si="3"/>
        <v>0</v>
      </c>
    </row>
    <row r="57" spans="1:7" x14ac:dyDescent="0.35">
      <c r="A57" s="13" t="s">
        <v>534</v>
      </c>
      <c r="B57" s="13" t="s">
        <v>559</v>
      </c>
      <c r="C57" s="13" t="s">
        <v>369</v>
      </c>
      <c r="D57" s="13" t="s">
        <v>554</v>
      </c>
      <c r="E57" s="37" t="b">
        <f t="shared" si="1"/>
        <v>1</v>
      </c>
      <c r="F57" s="1"/>
      <c r="G57">
        <f t="shared" si="3"/>
        <v>0</v>
      </c>
    </row>
    <row r="58" spans="1:7" x14ac:dyDescent="0.35">
      <c r="A58" s="13" t="s">
        <v>534</v>
      </c>
      <c r="B58" s="13" t="s">
        <v>559</v>
      </c>
      <c r="C58" s="13" t="s">
        <v>367</v>
      </c>
      <c r="D58" s="13" t="s">
        <v>554</v>
      </c>
      <c r="E58" s="37" t="b">
        <f t="shared" si="1"/>
        <v>1</v>
      </c>
      <c r="F58" s="1"/>
      <c r="G58">
        <f t="shared" si="3"/>
        <v>0</v>
      </c>
    </row>
    <row r="59" spans="1:7" x14ac:dyDescent="0.35">
      <c r="A59" s="13" t="s">
        <v>534</v>
      </c>
      <c r="B59" s="13" t="s">
        <v>559</v>
      </c>
      <c r="C59" s="13" t="s">
        <v>563</v>
      </c>
      <c r="D59" s="13" t="s">
        <v>560</v>
      </c>
      <c r="E59" s="37" t="b">
        <f t="shared" si="1"/>
        <v>1</v>
      </c>
      <c r="F59" s="1"/>
      <c r="G59">
        <f t="shared" si="3"/>
        <v>0</v>
      </c>
    </row>
    <row r="60" spans="1:7" x14ac:dyDescent="0.35">
      <c r="A60" s="13" t="s">
        <v>534</v>
      </c>
      <c r="B60" s="13" t="s">
        <v>559</v>
      </c>
      <c r="C60" s="13" t="s">
        <v>564</v>
      </c>
      <c r="D60" s="13" t="s">
        <v>565</v>
      </c>
      <c r="E60" s="37" t="b">
        <f t="shared" si="1"/>
        <v>1</v>
      </c>
      <c r="F60" s="1"/>
      <c r="G60">
        <f t="shared" si="3"/>
        <v>0</v>
      </c>
    </row>
    <row r="61" spans="1:7" x14ac:dyDescent="0.35">
      <c r="A61" s="13" t="s">
        <v>534</v>
      </c>
      <c r="B61" s="13" t="s">
        <v>559</v>
      </c>
      <c r="C61" s="13" t="s">
        <v>566</v>
      </c>
      <c r="D61" s="13" t="s">
        <v>543</v>
      </c>
      <c r="E61" s="37" t="b">
        <f t="shared" si="1"/>
        <v>1</v>
      </c>
      <c r="F61" s="1"/>
      <c r="G61">
        <f t="shared" si="3"/>
        <v>0</v>
      </c>
    </row>
    <row r="62" spans="1:7" x14ac:dyDescent="0.35">
      <c r="A62" s="13" t="s">
        <v>534</v>
      </c>
      <c r="B62" s="13" t="s">
        <v>559</v>
      </c>
      <c r="C62" s="13" t="s">
        <v>567</v>
      </c>
      <c r="D62" s="13" t="s">
        <v>568</v>
      </c>
      <c r="E62" s="37" t="b">
        <f t="shared" si="1"/>
        <v>1</v>
      </c>
      <c r="F62" s="1"/>
      <c r="G62">
        <f t="shared" si="3"/>
        <v>0</v>
      </c>
    </row>
    <row r="63" spans="1:7" x14ac:dyDescent="0.35">
      <c r="A63" s="13" t="s">
        <v>534</v>
      </c>
      <c r="B63" s="13" t="s">
        <v>559</v>
      </c>
      <c r="C63" s="13" t="s">
        <v>356</v>
      </c>
      <c r="D63" s="13" t="s">
        <v>569</v>
      </c>
      <c r="E63" s="37" t="b">
        <f t="shared" si="1"/>
        <v>1</v>
      </c>
      <c r="F63" s="1"/>
      <c r="G63">
        <f t="shared" si="3"/>
        <v>0</v>
      </c>
    </row>
    <row r="64" spans="1:7" x14ac:dyDescent="0.35">
      <c r="A64" s="13" t="s">
        <v>534</v>
      </c>
      <c r="B64" s="13" t="s">
        <v>559</v>
      </c>
      <c r="C64" s="13" t="s">
        <v>570</v>
      </c>
      <c r="D64" s="13" t="s">
        <v>543</v>
      </c>
      <c r="E64" s="37" t="b">
        <f t="shared" si="1"/>
        <v>1</v>
      </c>
      <c r="F64" s="1"/>
      <c r="G64">
        <f t="shared" si="3"/>
        <v>0</v>
      </c>
    </row>
    <row r="65" spans="1:7" x14ac:dyDescent="0.35">
      <c r="A65" s="13" t="s">
        <v>534</v>
      </c>
      <c r="B65" s="13" t="s">
        <v>559</v>
      </c>
      <c r="C65" s="13" t="s">
        <v>571</v>
      </c>
      <c r="D65" s="13" t="s">
        <v>543</v>
      </c>
      <c r="E65" s="37" t="b">
        <f t="shared" si="1"/>
        <v>1</v>
      </c>
      <c r="F65" s="1"/>
      <c r="G65">
        <f t="shared" si="3"/>
        <v>0</v>
      </c>
    </row>
    <row r="66" spans="1:7" x14ac:dyDescent="0.35">
      <c r="A66" s="13" t="s">
        <v>534</v>
      </c>
      <c r="B66" s="13" t="s">
        <v>559</v>
      </c>
      <c r="C66" s="13" t="s">
        <v>572</v>
      </c>
      <c r="D66" s="13" t="s">
        <v>543</v>
      </c>
      <c r="E66" s="37" t="b">
        <f t="shared" si="1"/>
        <v>1</v>
      </c>
      <c r="F66" s="1"/>
      <c r="G66">
        <f t="shared" si="3"/>
        <v>0</v>
      </c>
    </row>
    <row r="67" spans="1:7" x14ac:dyDescent="0.35">
      <c r="A67" s="13" t="s">
        <v>534</v>
      </c>
      <c r="B67" s="13" t="s">
        <v>559</v>
      </c>
      <c r="C67" s="13" t="s">
        <v>573</v>
      </c>
      <c r="D67" s="13" t="s">
        <v>543</v>
      </c>
      <c r="E67" s="37" t="b">
        <f t="shared" si="1"/>
        <v>1</v>
      </c>
      <c r="G67">
        <f t="shared" si="3"/>
        <v>0</v>
      </c>
    </row>
    <row r="68" spans="1:7" x14ac:dyDescent="0.35">
      <c r="A68" s="13" t="s">
        <v>534</v>
      </c>
      <c r="B68" s="13" t="s">
        <v>559</v>
      </c>
      <c r="C68" s="13" t="s">
        <v>574</v>
      </c>
      <c r="D68" s="13" t="s">
        <v>543</v>
      </c>
      <c r="E68" s="37" t="b">
        <f t="shared" si="1"/>
        <v>1</v>
      </c>
      <c r="G68">
        <f t="shared" si="3"/>
        <v>0</v>
      </c>
    </row>
    <row r="69" spans="1:7" x14ac:dyDescent="0.35">
      <c r="A69" s="13" t="s">
        <v>534</v>
      </c>
      <c r="B69" s="13" t="s">
        <v>559</v>
      </c>
      <c r="C69" s="13" t="s">
        <v>351</v>
      </c>
      <c r="D69" s="13" t="s">
        <v>543</v>
      </c>
      <c r="E69" s="37" t="b">
        <f t="shared" ref="E69:E132" si="4">EXACT(C69,UPPER(C69))</f>
        <v>1</v>
      </c>
      <c r="G69">
        <f t="shared" ref="G69:G100" si="5">COUNTIF(C:C,F69)</f>
        <v>0</v>
      </c>
    </row>
    <row r="70" spans="1:7" x14ac:dyDescent="0.35">
      <c r="A70" s="13" t="s">
        <v>534</v>
      </c>
      <c r="B70" s="13" t="s">
        <v>559</v>
      </c>
      <c r="C70" s="13" t="s">
        <v>575</v>
      </c>
      <c r="D70" s="13" t="s">
        <v>576</v>
      </c>
      <c r="E70" s="37" t="b">
        <f t="shared" si="4"/>
        <v>1</v>
      </c>
      <c r="G70">
        <f t="shared" si="5"/>
        <v>0</v>
      </c>
    </row>
    <row r="71" spans="1:7" x14ac:dyDescent="0.35">
      <c r="A71" s="13" t="s">
        <v>534</v>
      </c>
      <c r="B71" s="13" t="s">
        <v>559</v>
      </c>
      <c r="C71" s="13" t="s">
        <v>577</v>
      </c>
      <c r="D71" s="13" t="s">
        <v>543</v>
      </c>
      <c r="E71" s="37" t="b">
        <f t="shared" si="4"/>
        <v>1</v>
      </c>
      <c r="G71">
        <f t="shared" si="5"/>
        <v>0</v>
      </c>
    </row>
    <row r="72" spans="1:7" x14ac:dyDescent="0.35">
      <c r="A72" s="13" t="s">
        <v>534</v>
      </c>
      <c r="B72" s="13" t="s">
        <v>559</v>
      </c>
      <c r="C72" s="13" t="s">
        <v>578</v>
      </c>
      <c r="D72" s="13" t="s">
        <v>542</v>
      </c>
      <c r="E72" s="37" t="b">
        <f t="shared" si="4"/>
        <v>1</v>
      </c>
      <c r="G72">
        <f t="shared" si="5"/>
        <v>0</v>
      </c>
    </row>
    <row r="73" spans="1:7" x14ac:dyDescent="0.35">
      <c r="A73" s="13" t="s">
        <v>534</v>
      </c>
      <c r="B73" s="13" t="s">
        <v>559</v>
      </c>
      <c r="C73" s="13" t="s">
        <v>579</v>
      </c>
      <c r="D73" s="13" t="s">
        <v>580</v>
      </c>
      <c r="E73" s="37" t="b">
        <f t="shared" si="4"/>
        <v>1</v>
      </c>
      <c r="G73">
        <f t="shared" si="5"/>
        <v>0</v>
      </c>
    </row>
    <row r="74" spans="1:7" x14ac:dyDescent="0.35">
      <c r="A74" s="13" t="s">
        <v>534</v>
      </c>
      <c r="B74" s="13" t="s">
        <v>559</v>
      </c>
      <c r="C74" s="13" t="s">
        <v>581</v>
      </c>
      <c r="D74" s="13" t="s">
        <v>542</v>
      </c>
      <c r="E74" s="37" t="b">
        <f t="shared" si="4"/>
        <v>1</v>
      </c>
      <c r="G74">
        <f t="shared" si="5"/>
        <v>0</v>
      </c>
    </row>
    <row r="75" spans="1:7" x14ac:dyDescent="0.35">
      <c r="A75" s="13" t="s">
        <v>534</v>
      </c>
      <c r="B75" s="13" t="s">
        <v>559</v>
      </c>
      <c r="C75" s="13" t="s">
        <v>582</v>
      </c>
      <c r="D75" s="13" t="s">
        <v>543</v>
      </c>
      <c r="E75" s="37" t="b">
        <f t="shared" si="4"/>
        <v>1</v>
      </c>
      <c r="G75">
        <f t="shared" si="5"/>
        <v>0</v>
      </c>
    </row>
    <row r="76" spans="1:7" x14ac:dyDescent="0.35">
      <c r="A76" s="13" t="s">
        <v>534</v>
      </c>
      <c r="B76" s="13" t="s">
        <v>559</v>
      </c>
      <c r="C76" s="13" t="s">
        <v>358</v>
      </c>
      <c r="D76" s="13" t="s">
        <v>543</v>
      </c>
      <c r="E76" s="37" t="b">
        <f t="shared" si="4"/>
        <v>1</v>
      </c>
      <c r="G76">
        <f t="shared" si="5"/>
        <v>0</v>
      </c>
    </row>
    <row r="77" spans="1:7" x14ac:dyDescent="0.35">
      <c r="A77" s="13" t="s">
        <v>534</v>
      </c>
      <c r="B77" s="13" t="s">
        <v>559</v>
      </c>
      <c r="C77" s="13" t="s">
        <v>583</v>
      </c>
      <c r="D77" s="13" t="s">
        <v>543</v>
      </c>
      <c r="E77" s="37" t="b">
        <f t="shared" si="4"/>
        <v>1</v>
      </c>
      <c r="G77">
        <f t="shared" si="5"/>
        <v>0</v>
      </c>
    </row>
    <row r="78" spans="1:7" x14ac:dyDescent="0.35">
      <c r="A78" s="13" t="s">
        <v>534</v>
      </c>
      <c r="B78" s="13" t="s">
        <v>559</v>
      </c>
      <c r="C78" s="13" t="s">
        <v>584</v>
      </c>
      <c r="D78" s="13" t="s">
        <v>543</v>
      </c>
      <c r="E78" s="37" t="b">
        <f t="shared" si="4"/>
        <v>1</v>
      </c>
      <c r="G78">
        <f t="shared" si="5"/>
        <v>0</v>
      </c>
    </row>
    <row r="79" spans="1:7" x14ac:dyDescent="0.35">
      <c r="A79" s="13" t="s">
        <v>534</v>
      </c>
      <c r="B79" s="13" t="s">
        <v>559</v>
      </c>
      <c r="C79" s="13" t="s">
        <v>585</v>
      </c>
      <c r="D79" s="13" t="s">
        <v>543</v>
      </c>
      <c r="E79" s="37" t="b">
        <f t="shared" si="4"/>
        <v>1</v>
      </c>
      <c r="G79">
        <f t="shared" si="5"/>
        <v>0</v>
      </c>
    </row>
    <row r="80" spans="1:7" x14ac:dyDescent="0.35">
      <c r="A80" s="13" t="s">
        <v>534</v>
      </c>
      <c r="B80" s="13" t="s">
        <v>586</v>
      </c>
      <c r="C80" s="13" t="s">
        <v>318</v>
      </c>
      <c r="D80" s="13" t="s">
        <v>536</v>
      </c>
      <c r="E80" s="37" t="b">
        <f t="shared" si="4"/>
        <v>1</v>
      </c>
      <c r="G80">
        <f t="shared" si="5"/>
        <v>0</v>
      </c>
    </row>
    <row r="81" spans="1:7" x14ac:dyDescent="0.35">
      <c r="A81" s="13" t="s">
        <v>534</v>
      </c>
      <c r="B81" s="13" t="s">
        <v>586</v>
      </c>
      <c r="C81" s="13" t="s">
        <v>587</v>
      </c>
      <c r="D81" s="13" t="s">
        <v>558</v>
      </c>
      <c r="E81" s="37" t="b">
        <f t="shared" si="4"/>
        <v>1</v>
      </c>
      <c r="G81">
        <f t="shared" si="5"/>
        <v>0</v>
      </c>
    </row>
    <row r="82" spans="1:7" x14ac:dyDescent="0.35">
      <c r="A82" s="13" t="s">
        <v>534</v>
      </c>
      <c r="B82" s="13" t="s">
        <v>586</v>
      </c>
      <c r="C82" s="13" t="s">
        <v>588</v>
      </c>
      <c r="D82" s="13" t="s">
        <v>547</v>
      </c>
      <c r="E82" s="37" t="b">
        <f t="shared" si="4"/>
        <v>1</v>
      </c>
      <c r="G82">
        <f t="shared" si="5"/>
        <v>0</v>
      </c>
    </row>
    <row r="83" spans="1:7" x14ac:dyDescent="0.35">
      <c r="A83" s="13" t="s">
        <v>534</v>
      </c>
      <c r="B83" s="13" t="s">
        <v>586</v>
      </c>
      <c r="C83" s="13" t="s">
        <v>328</v>
      </c>
      <c r="D83" s="13" t="s">
        <v>562</v>
      </c>
      <c r="E83" s="37" t="b">
        <f t="shared" si="4"/>
        <v>1</v>
      </c>
      <c r="G83">
        <f t="shared" si="5"/>
        <v>0</v>
      </c>
    </row>
    <row r="84" spans="1:7" x14ac:dyDescent="0.35">
      <c r="A84" s="13" t="s">
        <v>534</v>
      </c>
      <c r="B84" s="13" t="s">
        <v>586</v>
      </c>
      <c r="C84" s="13" t="s">
        <v>321</v>
      </c>
      <c r="D84" s="13" t="s">
        <v>537</v>
      </c>
      <c r="E84" s="37" t="b">
        <f t="shared" si="4"/>
        <v>1</v>
      </c>
      <c r="G84">
        <f t="shared" si="5"/>
        <v>0</v>
      </c>
    </row>
    <row r="85" spans="1:7" x14ac:dyDescent="0.35">
      <c r="A85" s="13" t="s">
        <v>534</v>
      </c>
      <c r="B85" s="13" t="s">
        <v>586</v>
      </c>
      <c r="C85" s="13" t="s">
        <v>323</v>
      </c>
      <c r="D85" s="13" t="s">
        <v>538</v>
      </c>
      <c r="E85" s="37" t="b">
        <f t="shared" si="4"/>
        <v>1</v>
      </c>
      <c r="G85">
        <f t="shared" si="5"/>
        <v>0</v>
      </c>
    </row>
    <row r="86" spans="1:7" x14ac:dyDescent="0.35">
      <c r="A86" s="13" t="s">
        <v>534</v>
      </c>
      <c r="B86" s="13" t="s">
        <v>586</v>
      </c>
      <c r="C86" s="13" t="s">
        <v>330</v>
      </c>
      <c r="D86" s="13" t="s">
        <v>569</v>
      </c>
      <c r="E86" s="37" t="b">
        <f t="shared" si="4"/>
        <v>1</v>
      </c>
      <c r="G86">
        <f t="shared" si="5"/>
        <v>0</v>
      </c>
    </row>
    <row r="87" spans="1:7" x14ac:dyDescent="0.35">
      <c r="A87" s="13" t="s">
        <v>534</v>
      </c>
      <c r="B87" s="13" t="s">
        <v>586</v>
      </c>
      <c r="C87" s="13" t="s">
        <v>589</v>
      </c>
      <c r="D87" s="13" t="s">
        <v>547</v>
      </c>
      <c r="E87" s="37" t="b">
        <f t="shared" si="4"/>
        <v>1</v>
      </c>
      <c r="G87">
        <f t="shared" si="5"/>
        <v>0</v>
      </c>
    </row>
    <row r="88" spans="1:7" x14ac:dyDescent="0.35">
      <c r="A88" s="13" t="s">
        <v>534</v>
      </c>
      <c r="B88" s="13" t="s">
        <v>586</v>
      </c>
      <c r="C88" s="13" t="s">
        <v>590</v>
      </c>
      <c r="D88" s="13" t="s">
        <v>556</v>
      </c>
      <c r="E88" s="37" t="b">
        <f t="shared" si="4"/>
        <v>1</v>
      </c>
      <c r="G88">
        <f t="shared" si="5"/>
        <v>0</v>
      </c>
    </row>
    <row r="89" spans="1:7" x14ac:dyDescent="0.35">
      <c r="A89" s="13" t="s">
        <v>534</v>
      </c>
      <c r="B89" s="13" t="s">
        <v>591</v>
      </c>
      <c r="C89" s="13" t="s">
        <v>592</v>
      </c>
      <c r="D89" s="13" t="s">
        <v>593</v>
      </c>
      <c r="E89" s="37" t="b">
        <f t="shared" si="4"/>
        <v>1</v>
      </c>
      <c r="G89">
        <f t="shared" si="5"/>
        <v>0</v>
      </c>
    </row>
    <row r="90" spans="1:7" x14ac:dyDescent="0.35">
      <c r="A90" s="13" t="s">
        <v>534</v>
      </c>
      <c r="B90" s="13" t="s">
        <v>591</v>
      </c>
      <c r="C90" s="13" t="s">
        <v>594</v>
      </c>
      <c r="D90" s="13" t="s">
        <v>536</v>
      </c>
      <c r="E90" s="37" t="b">
        <f t="shared" si="4"/>
        <v>1</v>
      </c>
      <c r="G90">
        <f t="shared" si="5"/>
        <v>0</v>
      </c>
    </row>
    <row r="91" spans="1:7" x14ac:dyDescent="0.35">
      <c r="A91" s="13" t="s">
        <v>534</v>
      </c>
      <c r="B91" s="13" t="s">
        <v>591</v>
      </c>
      <c r="C91" s="13" t="s">
        <v>595</v>
      </c>
      <c r="D91" s="13" t="s">
        <v>593</v>
      </c>
      <c r="E91" s="37" t="b">
        <f t="shared" si="4"/>
        <v>1</v>
      </c>
      <c r="G91">
        <f t="shared" si="5"/>
        <v>0</v>
      </c>
    </row>
    <row r="92" spans="1:7" x14ac:dyDescent="0.35">
      <c r="A92" s="13" t="s">
        <v>534</v>
      </c>
      <c r="B92" s="13" t="s">
        <v>591</v>
      </c>
      <c r="C92" s="13" t="s">
        <v>596</v>
      </c>
      <c r="D92" s="13" t="s">
        <v>593</v>
      </c>
      <c r="E92" s="37" t="b">
        <f t="shared" si="4"/>
        <v>1</v>
      </c>
      <c r="G92">
        <f t="shared" si="5"/>
        <v>0</v>
      </c>
    </row>
    <row r="93" spans="1:7" x14ac:dyDescent="0.35">
      <c r="A93" s="13" t="s">
        <v>534</v>
      </c>
      <c r="B93" s="13" t="s">
        <v>591</v>
      </c>
      <c r="C93" s="13" t="s">
        <v>321</v>
      </c>
      <c r="D93" s="13" t="s">
        <v>543</v>
      </c>
      <c r="E93" s="37" t="b">
        <f t="shared" si="4"/>
        <v>1</v>
      </c>
      <c r="G93">
        <f t="shared" si="5"/>
        <v>0</v>
      </c>
    </row>
    <row r="94" spans="1:7" x14ac:dyDescent="0.35">
      <c r="A94" s="13" t="s">
        <v>534</v>
      </c>
      <c r="B94" s="13" t="s">
        <v>591</v>
      </c>
      <c r="C94" s="13" t="s">
        <v>323</v>
      </c>
      <c r="D94" s="13" t="s">
        <v>538</v>
      </c>
      <c r="E94" s="37" t="b">
        <f t="shared" si="4"/>
        <v>1</v>
      </c>
      <c r="G94">
        <f t="shared" si="5"/>
        <v>0</v>
      </c>
    </row>
    <row r="95" spans="1:7" x14ac:dyDescent="0.35">
      <c r="A95" s="13" t="s">
        <v>534</v>
      </c>
      <c r="B95" s="13" t="s">
        <v>591</v>
      </c>
      <c r="C95" s="13" t="s">
        <v>597</v>
      </c>
      <c r="D95" s="13" t="s">
        <v>539</v>
      </c>
      <c r="E95" s="37" t="b">
        <f t="shared" si="4"/>
        <v>1</v>
      </c>
      <c r="G95">
        <f t="shared" si="5"/>
        <v>0</v>
      </c>
    </row>
    <row r="96" spans="1:7" x14ac:dyDescent="0.35">
      <c r="A96" s="13" t="s">
        <v>534</v>
      </c>
      <c r="B96" s="13" t="s">
        <v>598</v>
      </c>
      <c r="C96" s="13" t="s">
        <v>318</v>
      </c>
      <c r="D96" s="13" t="s">
        <v>536</v>
      </c>
      <c r="E96" s="37" t="b">
        <f t="shared" si="4"/>
        <v>1</v>
      </c>
      <c r="G96">
        <f t="shared" si="5"/>
        <v>0</v>
      </c>
    </row>
    <row r="97" spans="1:7" x14ac:dyDescent="0.35">
      <c r="A97" s="13" t="s">
        <v>534</v>
      </c>
      <c r="B97" s="13" t="s">
        <v>598</v>
      </c>
      <c r="C97" s="13" t="s">
        <v>321</v>
      </c>
      <c r="D97" s="13" t="s">
        <v>543</v>
      </c>
      <c r="E97" s="37" t="b">
        <f t="shared" si="4"/>
        <v>1</v>
      </c>
      <c r="G97">
        <f t="shared" si="5"/>
        <v>0</v>
      </c>
    </row>
    <row r="98" spans="1:7" x14ac:dyDescent="0.35">
      <c r="A98" s="13" t="s">
        <v>534</v>
      </c>
      <c r="B98" s="13" t="s">
        <v>598</v>
      </c>
      <c r="C98" s="13" t="s">
        <v>323</v>
      </c>
      <c r="D98" s="13" t="s">
        <v>537</v>
      </c>
      <c r="E98" s="37" t="b">
        <f t="shared" si="4"/>
        <v>1</v>
      </c>
      <c r="G98">
        <f t="shared" si="5"/>
        <v>0</v>
      </c>
    </row>
    <row r="99" spans="1:7" x14ac:dyDescent="0.35">
      <c r="A99" s="13" t="s">
        <v>534</v>
      </c>
      <c r="B99" s="13" t="s">
        <v>598</v>
      </c>
      <c r="C99" s="13" t="s">
        <v>599</v>
      </c>
      <c r="D99" s="13" t="s">
        <v>539</v>
      </c>
      <c r="E99" s="37" t="b">
        <f t="shared" si="4"/>
        <v>1</v>
      </c>
      <c r="G99">
        <f t="shared" si="5"/>
        <v>0</v>
      </c>
    </row>
    <row r="100" spans="1:7" x14ac:dyDescent="0.35">
      <c r="A100" s="13" t="s">
        <v>534</v>
      </c>
      <c r="B100" s="13" t="s">
        <v>598</v>
      </c>
      <c r="C100" s="13" t="s">
        <v>341</v>
      </c>
      <c r="D100" s="13" t="s">
        <v>556</v>
      </c>
      <c r="E100" s="37" t="b">
        <f t="shared" si="4"/>
        <v>1</v>
      </c>
      <c r="G100">
        <f t="shared" si="5"/>
        <v>0</v>
      </c>
    </row>
    <row r="101" spans="1:7" x14ac:dyDescent="0.35">
      <c r="A101" s="13" t="s">
        <v>534</v>
      </c>
      <c r="B101" s="13" t="s">
        <v>598</v>
      </c>
      <c r="C101" s="13" t="s">
        <v>336</v>
      </c>
      <c r="D101" s="13" t="s">
        <v>554</v>
      </c>
      <c r="E101" s="37" t="b">
        <f t="shared" si="4"/>
        <v>1</v>
      </c>
      <c r="G101">
        <f t="shared" ref="G101:G132" si="6">COUNTIF(C:C,F101)</f>
        <v>0</v>
      </c>
    </row>
    <row r="102" spans="1:7" x14ac:dyDescent="0.35">
      <c r="A102" s="13" t="s">
        <v>534</v>
      </c>
      <c r="B102" s="13" t="s">
        <v>598</v>
      </c>
      <c r="C102" s="13" t="s">
        <v>344</v>
      </c>
      <c r="D102" s="13" t="s">
        <v>537</v>
      </c>
      <c r="E102" s="37" t="b">
        <f t="shared" si="4"/>
        <v>1</v>
      </c>
      <c r="G102">
        <f t="shared" si="6"/>
        <v>0</v>
      </c>
    </row>
    <row r="103" spans="1:7" x14ac:dyDescent="0.35">
      <c r="A103" s="13" t="s">
        <v>534</v>
      </c>
      <c r="B103" s="13" t="s">
        <v>598</v>
      </c>
      <c r="C103" s="13" t="s">
        <v>346</v>
      </c>
      <c r="D103" s="13" t="s">
        <v>600</v>
      </c>
      <c r="E103" s="37" t="b">
        <f t="shared" si="4"/>
        <v>1</v>
      </c>
      <c r="G103">
        <f t="shared" si="6"/>
        <v>0</v>
      </c>
    </row>
    <row r="104" spans="1:7" x14ac:dyDescent="0.35">
      <c r="A104" s="13" t="s">
        <v>534</v>
      </c>
      <c r="B104" s="13" t="s">
        <v>598</v>
      </c>
      <c r="C104" s="13" t="s">
        <v>338</v>
      </c>
      <c r="D104" s="13" t="s">
        <v>601</v>
      </c>
      <c r="E104" s="37" t="b">
        <f t="shared" si="4"/>
        <v>1</v>
      </c>
      <c r="G104">
        <f t="shared" si="6"/>
        <v>0</v>
      </c>
    </row>
    <row r="105" spans="1:7" x14ac:dyDescent="0.35">
      <c r="A105" s="13" t="s">
        <v>534</v>
      </c>
      <c r="B105" s="13" t="s">
        <v>602</v>
      </c>
      <c r="C105" s="13" t="s">
        <v>603</v>
      </c>
      <c r="D105" s="13" t="s">
        <v>543</v>
      </c>
      <c r="E105" s="37" t="b">
        <f t="shared" si="4"/>
        <v>1</v>
      </c>
      <c r="G105">
        <f t="shared" si="6"/>
        <v>0</v>
      </c>
    </row>
    <row r="106" spans="1:7" x14ac:dyDescent="0.35">
      <c r="A106" s="13" t="s">
        <v>534</v>
      </c>
      <c r="B106" s="13" t="s">
        <v>602</v>
      </c>
      <c r="C106" s="13" t="s">
        <v>604</v>
      </c>
      <c r="D106" s="13" t="s">
        <v>536</v>
      </c>
      <c r="E106" s="37" t="b">
        <f t="shared" si="4"/>
        <v>1</v>
      </c>
      <c r="G106">
        <f t="shared" si="6"/>
        <v>0</v>
      </c>
    </row>
    <row r="107" spans="1:7" x14ac:dyDescent="0.35">
      <c r="A107" s="13" t="s">
        <v>534</v>
      </c>
      <c r="B107" s="13" t="s">
        <v>602</v>
      </c>
      <c r="C107" s="13" t="s">
        <v>605</v>
      </c>
      <c r="D107" s="13" t="s">
        <v>543</v>
      </c>
      <c r="E107" s="37" t="b">
        <f t="shared" si="4"/>
        <v>1</v>
      </c>
      <c r="G107">
        <f t="shared" si="6"/>
        <v>0</v>
      </c>
    </row>
    <row r="108" spans="1:7" x14ac:dyDescent="0.35">
      <c r="A108" s="13" t="s">
        <v>534</v>
      </c>
      <c r="B108" s="13" t="s">
        <v>602</v>
      </c>
      <c r="C108" s="13" t="s">
        <v>606</v>
      </c>
      <c r="D108" s="13" t="s">
        <v>543</v>
      </c>
      <c r="E108" s="37" t="b">
        <f t="shared" si="4"/>
        <v>1</v>
      </c>
      <c r="G108">
        <f t="shared" si="6"/>
        <v>0</v>
      </c>
    </row>
    <row r="109" spans="1:7" x14ac:dyDescent="0.35">
      <c r="A109" s="13" t="s">
        <v>534</v>
      </c>
      <c r="B109" s="13" t="s">
        <v>602</v>
      </c>
      <c r="C109" s="13" t="s">
        <v>607</v>
      </c>
      <c r="D109" s="13" t="s">
        <v>543</v>
      </c>
      <c r="E109" s="37" t="b">
        <f t="shared" si="4"/>
        <v>1</v>
      </c>
      <c r="G109">
        <f t="shared" si="6"/>
        <v>0</v>
      </c>
    </row>
    <row r="110" spans="1:7" x14ac:dyDescent="0.35">
      <c r="A110" s="13" t="s">
        <v>534</v>
      </c>
      <c r="B110" s="13" t="s">
        <v>602</v>
      </c>
      <c r="C110" s="13" t="s">
        <v>608</v>
      </c>
      <c r="D110" s="13" t="s">
        <v>543</v>
      </c>
      <c r="E110" s="37" t="b">
        <f t="shared" si="4"/>
        <v>1</v>
      </c>
      <c r="G110">
        <f t="shared" si="6"/>
        <v>0</v>
      </c>
    </row>
    <row r="111" spans="1:7" x14ac:dyDescent="0.35">
      <c r="A111" s="13" t="s">
        <v>534</v>
      </c>
      <c r="B111" s="13" t="s">
        <v>602</v>
      </c>
      <c r="C111" s="13" t="s">
        <v>609</v>
      </c>
      <c r="D111" s="13" t="s">
        <v>543</v>
      </c>
      <c r="E111" s="37" t="b">
        <f t="shared" si="4"/>
        <v>1</v>
      </c>
      <c r="G111">
        <f t="shared" si="6"/>
        <v>0</v>
      </c>
    </row>
    <row r="112" spans="1:7" x14ac:dyDescent="0.35">
      <c r="A112" s="13" t="s">
        <v>534</v>
      </c>
      <c r="B112" s="13" t="s">
        <v>610</v>
      </c>
      <c r="C112" s="13" t="s">
        <v>604</v>
      </c>
      <c r="D112" s="13" t="s">
        <v>536</v>
      </c>
      <c r="E112" s="37" t="b">
        <f t="shared" si="4"/>
        <v>1</v>
      </c>
      <c r="G112">
        <f t="shared" si="6"/>
        <v>0</v>
      </c>
    </row>
    <row r="113" spans="1:7" x14ac:dyDescent="0.35">
      <c r="A113" s="13" t="s">
        <v>534</v>
      </c>
      <c r="B113" s="13" t="s">
        <v>610</v>
      </c>
      <c r="C113" s="13" t="s">
        <v>605</v>
      </c>
      <c r="D113" s="13" t="s">
        <v>543</v>
      </c>
      <c r="E113" s="37" t="b">
        <f t="shared" si="4"/>
        <v>1</v>
      </c>
      <c r="G113">
        <f t="shared" si="6"/>
        <v>0</v>
      </c>
    </row>
    <row r="114" spans="1:7" x14ac:dyDescent="0.35">
      <c r="A114" s="13" t="s">
        <v>534</v>
      </c>
      <c r="B114" s="13" t="s">
        <v>610</v>
      </c>
      <c r="C114" s="13" t="s">
        <v>606</v>
      </c>
      <c r="D114" s="13" t="s">
        <v>543</v>
      </c>
      <c r="E114" s="37" t="b">
        <f t="shared" si="4"/>
        <v>1</v>
      </c>
      <c r="G114">
        <f t="shared" si="6"/>
        <v>0</v>
      </c>
    </row>
    <row r="115" spans="1:7" x14ac:dyDescent="0.35">
      <c r="A115" s="13" t="s">
        <v>534</v>
      </c>
      <c r="B115" s="13" t="s">
        <v>610</v>
      </c>
      <c r="C115" s="13" t="s">
        <v>607</v>
      </c>
      <c r="D115" s="13" t="s">
        <v>543</v>
      </c>
      <c r="E115" s="37" t="b">
        <f t="shared" si="4"/>
        <v>1</v>
      </c>
      <c r="G115">
        <f t="shared" si="6"/>
        <v>0</v>
      </c>
    </row>
    <row r="116" spans="1:7" x14ac:dyDescent="0.35">
      <c r="A116" s="13" t="s">
        <v>534</v>
      </c>
      <c r="B116" s="13" t="s">
        <v>610</v>
      </c>
      <c r="C116" s="13" t="s">
        <v>611</v>
      </c>
      <c r="D116" s="13" t="s">
        <v>612</v>
      </c>
      <c r="E116" s="37" t="b">
        <f t="shared" si="4"/>
        <v>1</v>
      </c>
      <c r="G116">
        <f t="shared" si="6"/>
        <v>0</v>
      </c>
    </row>
    <row r="117" spans="1:7" x14ac:dyDescent="0.35">
      <c r="A117" s="13" t="s">
        <v>534</v>
      </c>
      <c r="B117" s="13" t="s">
        <v>613</v>
      </c>
      <c r="C117" s="13" t="s">
        <v>614</v>
      </c>
      <c r="D117" s="13" t="s">
        <v>536</v>
      </c>
      <c r="E117" s="37" t="b">
        <f t="shared" si="4"/>
        <v>1</v>
      </c>
      <c r="G117">
        <f t="shared" si="6"/>
        <v>0</v>
      </c>
    </row>
    <row r="118" spans="1:7" x14ac:dyDescent="0.35">
      <c r="A118" s="13" t="s">
        <v>534</v>
      </c>
      <c r="B118" s="13" t="s">
        <v>613</v>
      </c>
      <c r="C118" s="13" t="s">
        <v>43</v>
      </c>
      <c r="D118" s="13" t="s">
        <v>568</v>
      </c>
      <c r="E118" s="37" t="b">
        <f t="shared" si="4"/>
        <v>1</v>
      </c>
      <c r="G118">
        <f t="shared" si="6"/>
        <v>0</v>
      </c>
    </row>
    <row r="119" spans="1:7" x14ac:dyDescent="0.35">
      <c r="A119" s="13" t="s">
        <v>534</v>
      </c>
      <c r="B119" s="13" t="s">
        <v>613</v>
      </c>
      <c r="C119" s="13" t="s">
        <v>615</v>
      </c>
      <c r="D119" s="13" t="s">
        <v>616</v>
      </c>
      <c r="E119" s="37" t="b">
        <f t="shared" si="4"/>
        <v>1</v>
      </c>
      <c r="G119">
        <f t="shared" si="6"/>
        <v>0</v>
      </c>
    </row>
    <row r="120" spans="1:7" x14ac:dyDescent="0.35">
      <c r="A120" s="13" t="s">
        <v>534</v>
      </c>
      <c r="B120" s="13" t="s">
        <v>613</v>
      </c>
      <c r="C120" s="13" t="s">
        <v>47</v>
      </c>
      <c r="D120" s="13" t="s">
        <v>568</v>
      </c>
      <c r="E120" s="37" t="b">
        <f t="shared" si="4"/>
        <v>1</v>
      </c>
      <c r="G120">
        <f t="shared" si="6"/>
        <v>0</v>
      </c>
    </row>
    <row r="121" spans="1:7" x14ac:dyDescent="0.35">
      <c r="A121" s="13" t="s">
        <v>534</v>
      </c>
      <c r="B121" s="13" t="s">
        <v>613</v>
      </c>
      <c r="C121" s="13" t="s">
        <v>617</v>
      </c>
      <c r="D121" s="13" t="s">
        <v>576</v>
      </c>
      <c r="E121" s="37" t="b">
        <f t="shared" si="4"/>
        <v>1</v>
      </c>
      <c r="G121">
        <f t="shared" si="6"/>
        <v>0</v>
      </c>
    </row>
    <row r="122" spans="1:7" x14ac:dyDescent="0.35">
      <c r="A122" s="13" t="s">
        <v>534</v>
      </c>
      <c r="B122" s="13" t="s">
        <v>613</v>
      </c>
      <c r="C122" s="13" t="s">
        <v>49</v>
      </c>
      <c r="D122" s="13" t="s">
        <v>568</v>
      </c>
      <c r="E122" s="37" t="b">
        <f t="shared" si="4"/>
        <v>1</v>
      </c>
      <c r="G122">
        <f t="shared" si="6"/>
        <v>0</v>
      </c>
    </row>
    <row r="123" spans="1:7" x14ac:dyDescent="0.35">
      <c r="A123" s="13" t="s">
        <v>534</v>
      </c>
      <c r="B123" s="13" t="s">
        <v>618</v>
      </c>
      <c r="C123" s="13" t="s">
        <v>619</v>
      </c>
      <c r="D123" s="13" t="s">
        <v>620</v>
      </c>
      <c r="E123" s="37" t="b">
        <f t="shared" si="4"/>
        <v>1</v>
      </c>
      <c r="G123">
        <f t="shared" si="6"/>
        <v>0</v>
      </c>
    </row>
    <row r="124" spans="1:7" x14ac:dyDescent="0.35">
      <c r="A124" s="13" t="s">
        <v>534</v>
      </c>
      <c r="B124" s="13" t="s">
        <v>618</v>
      </c>
      <c r="C124" s="13" t="s">
        <v>621</v>
      </c>
      <c r="D124" s="13" t="s">
        <v>620</v>
      </c>
      <c r="E124" s="37" t="b">
        <f t="shared" si="4"/>
        <v>1</v>
      </c>
      <c r="G124">
        <f t="shared" si="6"/>
        <v>0</v>
      </c>
    </row>
    <row r="125" spans="1:7" x14ac:dyDescent="0.35">
      <c r="A125" s="13" t="s">
        <v>534</v>
      </c>
      <c r="B125" s="13" t="s">
        <v>618</v>
      </c>
      <c r="C125" s="13" t="s">
        <v>622</v>
      </c>
      <c r="D125" s="13" t="s">
        <v>623</v>
      </c>
      <c r="E125" s="37" t="b">
        <f t="shared" si="4"/>
        <v>1</v>
      </c>
      <c r="G125">
        <f t="shared" si="6"/>
        <v>0</v>
      </c>
    </row>
    <row r="126" spans="1:7" x14ac:dyDescent="0.35">
      <c r="A126" s="13" t="s">
        <v>534</v>
      </c>
      <c r="B126" s="13" t="s">
        <v>618</v>
      </c>
      <c r="C126" s="13" t="s">
        <v>624</v>
      </c>
      <c r="D126" s="13" t="s">
        <v>536</v>
      </c>
      <c r="E126" s="37" t="b">
        <f t="shared" si="4"/>
        <v>1</v>
      </c>
      <c r="G126">
        <f t="shared" si="6"/>
        <v>0</v>
      </c>
    </row>
    <row r="127" spans="1:7" x14ac:dyDescent="0.35">
      <c r="A127" s="13" t="s">
        <v>534</v>
      </c>
      <c r="B127" s="13" t="s">
        <v>618</v>
      </c>
      <c r="C127" s="13" t="s">
        <v>153</v>
      </c>
      <c r="D127" s="13" t="s">
        <v>539</v>
      </c>
      <c r="E127" s="37" t="b">
        <f t="shared" si="4"/>
        <v>1</v>
      </c>
      <c r="G127">
        <f t="shared" si="6"/>
        <v>0</v>
      </c>
    </row>
    <row r="128" spans="1:7" x14ac:dyDescent="0.35">
      <c r="A128" s="13" t="s">
        <v>534</v>
      </c>
      <c r="B128" s="13" t="s">
        <v>618</v>
      </c>
      <c r="C128" s="13" t="s">
        <v>174</v>
      </c>
      <c r="D128" s="13" t="s">
        <v>536</v>
      </c>
      <c r="E128" s="37" t="b">
        <f t="shared" si="4"/>
        <v>1</v>
      </c>
      <c r="G128">
        <f t="shared" si="6"/>
        <v>0</v>
      </c>
    </row>
    <row r="129" spans="1:7" x14ac:dyDescent="0.35">
      <c r="A129" s="13" t="s">
        <v>534</v>
      </c>
      <c r="B129" s="13" t="s">
        <v>618</v>
      </c>
      <c r="C129" s="13" t="s">
        <v>155</v>
      </c>
      <c r="D129" s="13" t="s">
        <v>538</v>
      </c>
      <c r="E129" s="37" t="b">
        <f t="shared" si="4"/>
        <v>1</v>
      </c>
      <c r="G129">
        <f t="shared" si="6"/>
        <v>0</v>
      </c>
    </row>
    <row r="130" spans="1:7" x14ac:dyDescent="0.35">
      <c r="A130" s="13" t="s">
        <v>534</v>
      </c>
      <c r="B130" s="13" t="s">
        <v>625</v>
      </c>
      <c r="C130" s="13" t="s">
        <v>626</v>
      </c>
      <c r="D130" s="13" t="s">
        <v>547</v>
      </c>
      <c r="E130" s="37" t="b">
        <f t="shared" si="4"/>
        <v>1</v>
      </c>
      <c r="G130">
        <f t="shared" si="6"/>
        <v>0</v>
      </c>
    </row>
    <row r="131" spans="1:7" x14ac:dyDescent="0.35">
      <c r="A131" s="13" t="s">
        <v>534</v>
      </c>
      <c r="B131" s="13" t="s">
        <v>625</v>
      </c>
      <c r="C131" s="13" t="s">
        <v>627</v>
      </c>
      <c r="D131" s="13" t="s">
        <v>547</v>
      </c>
      <c r="E131" s="37" t="b">
        <f t="shared" si="4"/>
        <v>1</v>
      </c>
      <c r="G131">
        <f t="shared" si="6"/>
        <v>0</v>
      </c>
    </row>
    <row r="132" spans="1:7" x14ac:dyDescent="0.35">
      <c r="A132" s="13" t="s">
        <v>534</v>
      </c>
      <c r="B132" s="13" t="s">
        <v>625</v>
      </c>
      <c r="C132" s="13" t="s">
        <v>628</v>
      </c>
      <c r="D132" s="13" t="s">
        <v>629</v>
      </c>
      <c r="E132" s="37" t="b">
        <f t="shared" si="4"/>
        <v>1</v>
      </c>
      <c r="G132">
        <f t="shared" si="6"/>
        <v>0</v>
      </c>
    </row>
    <row r="133" spans="1:7" x14ac:dyDescent="0.35">
      <c r="A133" s="13" t="s">
        <v>534</v>
      </c>
      <c r="B133" s="13" t="s">
        <v>625</v>
      </c>
      <c r="C133" s="13" t="s">
        <v>630</v>
      </c>
      <c r="D133" s="13" t="s">
        <v>536</v>
      </c>
      <c r="E133" s="37" t="b">
        <f t="shared" ref="E133:E196" si="7">EXACT(C133,UPPER(C133))</f>
        <v>1</v>
      </c>
      <c r="G133">
        <f t="shared" ref="G133:G138" si="8">COUNTIF(C:C,F133)</f>
        <v>0</v>
      </c>
    </row>
    <row r="134" spans="1:7" x14ac:dyDescent="0.35">
      <c r="A134" s="13" t="s">
        <v>534</v>
      </c>
      <c r="B134" s="13" t="s">
        <v>631</v>
      </c>
      <c r="C134" s="13" t="s">
        <v>632</v>
      </c>
      <c r="D134" s="13" t="s">
        <v>539</v>
      </c>
      <c r="E134" s="37" t="b">
        <f t="shared" si="7"/>
        <v>1</v>
      </c>
      <c r="G134">
        <f t="shared" si="8"/>
        <v>0</v>
      </c>
    </row>
    <row r="135" spans="1:7" x14ac:dyDescent="0.35">
      <c r="A135" s="13" t="s">
        <v>534</v>
      </c>
      <c r="B135" s="13" t="s">
        <v>631</v>
      </c>
      <c r="C135" s="13" t="s">
        <v>633</v>
      </c>
      <c r="D135" s="13" t="s">
        <v>536</v>
      </c>
      <c r="E135" s="37" t="b">
        <f t="shared" si="7"/>
        <v>1</v>
      </c>
      <c r="G135">
        <f t="shared" si="8"/>
        <v>0</v>
      </c>
    </row>
    <row r="136" spans="1:7" x14ac:dyDescent="0.35">
      <c r="A136" s="13" t="s">
        <v>534</v>
      </c>
      <c r="B136" s="13" t="s">
        <v>631</v>
      </c>
      <c r="C136" s="13" t="s">
        <v>634</v>
      </c>
      <c r="D136" s="13" t="s">
        <v>539</v>
      </c>
      <c r="E136" s="37" t="b">
        <f t="shared" si="7"/>
        <v>1</v>
      </c>
      <c r="G136">
        <f t="shared" si="8"/>
        <v>0</v>
      </c>
    </row>
    <row r="137" spans="1:7" x14ac:dyDescent="0.35">
      <c r="A137" s="13" t="s">
        <v>534</v>
      </c>
      <c r="B137" s="13" t="s">
        <v>631</v>
      </c>
      <c r="C137" s="13" t="s">
        <v>635</v>
      </c>
      <c r="D137" s="13" t="s">
        <v>538</v>
      </c>
      <c r="E137" s="37" t="b">
        <f t="shared" si="7"/>
        <v>1</v>
      </c>
      <c r="G137">
        <f t="shared" si="8"/>
        <v>0</v>
      </c>
    </row>
    <row r="138" spans="1:7" x14ac:dyDescent="0.35">
      <c r="A138" s="13" t="s">
        <v>534</v>
      </c>
      <c r="B138" s="13" t="s">
        <v>631</v>
      </c>
      <c r="C138" s="13" t="s">
        <v>112</v>
      </c>
      <c r="D138" s="13" t="s">
        <v>539</v>
      </c>
      <c r="E138" s="37" t="b">
        <f t="shared" si="7"/>
        <v>1</v>
      </c>
      <c r="G138">
        <f t="shared" si="8"/>
        <v>0</v>
      </c>
    </row>
    <row r="139" spans="1:7" x14ac:dyDescent="0.35">
      <c r="A139" s="13" t="s">
        <v>534</v>
      </c>
      <c r="B139" s="13" t="s">
        <v>636</v>
      </c>
      <c r="C139" s="13" t="s">
        <v>43</v>
      </c>
      <c r="D139" s="13" t="s">
        <v>568</v>
      </c>
      <c r="E139" s="37" t="b">
        <f t="shared" si="7"/>
        <v>1</v>
      </c>
      <c r="F139" s="89" t="s">
        <v>43</v>
      </c>
      <c r="G139">
        <f>COUNTIF(C139:C150,F139)</f>
        <v>1</v>
      </c>
    </row>
    <row r="140" spans="1:7" x14ac:dyDescent="0.35">
      <c r="A140" s="13" t="s">
        <v>534</v>
      </c>
      <c r="B140" s="13" t="s">
        <v>636</v>
      </c>
      <c r="C140" s="13" t="s">
        <v>51</v>
      </c>
      <c r="D140" s="13" t="s">
        <v>568</v>
      </c>
      <c r="E140" s="37" t="b">
        <f t="shared" si="7"/>
        <v>1</v>
      </c>
      <c r="F140" s="89" t="s">
        <v>47</v>
      </c>
      <c r="G140">
        <f t="shared" ref="G140:G147" si="9">COUNTIF(C140:C151,F140)</f>
        <v>1</v>
      </c>
    </row>
    <row r="141" spans="1:7" x14ac:dyDescent="0.35">
      <c r="A141" s="13" t="s">
        <v>534</v>
      </c>
      <c r="B141" s="13" t="s">
        <v>636</v>
      </c>
      <c r="C141" s="13" t="s">
        <v>637</v>
      </c>
      <c r="D141" s="13" t="s">
        <v>580</v>
      </c>
      <c r="E141" s="37" t="b">
        <f t="shared" si="7"/>
        <v>1</v>
      </c>
      <c r="F141" s="89" t="s">
        <v>49</v>
      </c>
      <c r="G141">
        <f t="shared" si="9"/>
        <v>1</v>
      </c>
    </row>
    <row r="142" spans="1:7" x14ac:dyDescent="0.35">
      <c r="A142" s="13" t="s">
        <v>534</v>
      </c>
      <c r="B142" s="13" t="s">
        <v>636</v>
      </c>
      <c r="C142" s="13" t="s">
        <v>638</v>
      </c>
      <c r="D142" s="13" t="s">
        <v>536</v>
      </c>
      <c r="E142" s="37" t="b">
        <f t="shared" si="7"/>
        <v>1</v>
      </c>
      <c r="F142" s="89" t="s">
        <v>51</v>
      </c>
      <c r="G142">
        <f t="shared" si="9"/>
        <v>0</v>
      </c>
    </row>
    <row r="143" spans="1:7" x14ac:dyDescent="0.35">
      <c r="A143" s="13" t="s">
        <v>534</v>
      </c>
      <c r="B143" s="13" t="s">
        <v>636</v>
      </c>
      <c r="C143" s="13" t="s">
        <v>634</v>
      </c>
      <c r="D143" s="13" t="s">
        <v>539</v>
      </c>
      <c r="E143" s="37" t="b">
        <f t="shared" si="7"/>
        <v>1</v>
      </c>
      <c r="F143" s="89" t="s">
        <v>53</v>
      </c>
      <c r="G143">
        <f t="shared" si="9"/>
        <v>1</v>
      </c>
    </row>
    <row r="144" spans="1:7" x14ac:dyDescent="0.35">
      <c r="A144" s="13" t="s">
        <v>534</v>
      </c>
      <c r="B144" s="13" t="s">
        <v>636</v>
      </c>
      <c r="C144" s="13" t="s">
        <v>635</v>
      </c>
      <c r="D144" s="13" t="s">
        <v>538</v>
      </c>
      <c r="E144" s="37" t="b">
        <f t="shared" si="7"/>
        <v>1</v>
      </c>
      <c r="F144" s="89" t="s">
        <v>55</v>
      </c>
      <c r="G144">
        <f t="shared" si="9"/>
        <v>1</v>
      </c>
    </row>
    <row r="145" spans="1:7" x14ac:dyDescent="0.35">
      <c r="A145" s="13" t="s">
        <v>534</v>
      </c>
      <c r="B145" s="13" t="s">
        <v>636</v>
      </c>
      <c r="C145" s="13" t="s">
        <v>47</v>
      </c>
      <c r="D145" s="13" t="s">
        <v>568</v>
      </c>
      <c r="E145" s="37" t="b">
        <f t="shared" si="7"/>
        <v>1</v>
      </c>
      <c r="F145" s="17" t="s">
        <v>57</v>
      </c>
      <c r="G145">
        <f t="shared" si="9"/>
        <v>0</v>
      </c>
    </row>
    <row r="146" spans="1:7" x14ac:dyDescent="0.35">
      <c r="A146" s="13" t="s">
        <v>534</v>
      </c>
      <c r="B146" s="13" t="s">
        <v>636</v>
      </c>
      <c r="C146" s="13" t="s">
        <v>53</v>
      </c>
      <c r="D146" s="13" t="s">
        <v>568</v>
      </c>
      <c r="E146" s="37" t="b">
        <f t="shared" si="7"/>
        <v>1</v>
      </c>
      <c r="F146" s="17" t="s">
        <v>59</v>
      </c>
      <c r="G146">
        <f t="shared" si="9"/>
        <v>0</v>
      </c>
    </row>
    <row r="147" spans="1:7" x14ac:dyDescent="0.35">
      <c r="A147" s="13" t="s">
        <v>534</v>
      </c>
      <c r="B147" s="13" t="s">
        <v>636</v>
      </c>
      <c r="C147" s="13" t="s">
        <v>112</v>
      </c>
      <c r="D147" s="13" t="s">
        <v>539</v>
      </c>
      <c r="E147" s="37" t="b">
        <f t="shared" si="7"/>
        <v>1</v>
      </c>
      <c r="F147" s="17" t="s">
        <v>61</v>
      </c>
      <c r="G147">
        <f t="shared" si="9"/>
        <v>0</v>
      </c>
    </row>
    <row r="148" spans="1:7" x14ac:dyDescent="0.35">
      <c r="A148" s="13" t="s">
        <v>534</v>
      </c>
      <c r="B148" s="13" t="s">
        <v>636</v>
      </c>
      <c r="C148" s="13" t="s">
        <v>617</v>
      </c>
      <c r="D148" s="13" t="s">
        <v>576</v>
      </c>
      <c r="E148" s="37" t="b">
        <f t="shared" si="7"/>
        <v>1</v>
      </c>
      <c r="G148">
        <f t="shared" ref="G148:G211" si="10">COUNTIF(C:C,F148)</f>
        <v>0</v>
      </c>
    </row>
    <row r="149" spans="1:7" x14ac:dyDescent="0.35">
      <c r="A149" s="13" t="s">
        <v>534</v>
      </c>
      <c r="B149" s="13" t="s">
        <v>636</v>
      </c>
      <c r="C149" s="13" t="s">
        <v>49</v>
      </c>
      <c r="D149" s="13" t="s">
        <v>568</v>
      </c>
      <c r="E149" s="37" t="b">
        <f t="shared" si="7"/>
        <v>1</v>
      </c>
      <c r="G149">
        <f t="shared" si="10"/>
        <v>0</v>
      </c>
    </row>
    <row r="150" spans="1:7" x14ac:dyDescent="0.35">
      <c r="A150" s="13" t="s">
        <v>534</v>
      </c>
      <c r="B150" s="13" t="s">
        <v>636</v>
      </c>
      <c r="C150" s="13" t="s">
        <v>55</v>
      </c>
      <c r="D150" s="13" t="s">
        <v>568</v>
      </c>
      <c r="E150" s="37" t="b">
        <f t="shared" si="7"/>
        <v>1</v>
      </c>
      <c r="G150">
        <f t="shared" si="10"/>
        <v>0</v>
      </c>
    </row>
    <row r="151" spans="1:7" x14ac:dyDescent="0.35">
      <c r="A151" s="13" t="s">
        <v>534</v>
      </c>
      <c r="B151" s="13" t="s">
        <v>639</v>
      </c>
      <c r="C151" s="13" t="s">
        <v>640</v>
      </c>
      <c r="D151" s="13" t="s">
        <v>562</v>
      </c>
      <c r="E151" s="37" t="b">
        <f t="shared" si="7"/>
        <v>1</v>
      </c>
      <c r="G151">
        <f t="shared" si="10"/>
        <v>0</v>
      </c>
    </row>
    <row r="152" spans="1:7" x14ac:dyDescent="0.35">
      <c r="A152" s="13" t="s">
        <v>534</v>
      </c>
      <c r="B152" s="13" t="s">
        <v>639</v>
      </c>
      <c r="C152" s="13" t="s">
        <v>641</v>
      </c>
      <c r="D152" s="13" t="s">
        <v>576</v>
      </c>
      <c r="E152" s="37" t="b">
        <f t="shared" si="7"/>
        <v>1</v>
      </c>
      <c r="G152">
        <f t="shared" si="10"/>
        <v>0</v>
      </c>
    </row>
    <row r="153" spans="1:7" x14ac:dyDescent="0.35">
      <c r="A153" s="13" t="s">
        <v>534</v>
      </c>
      <c r="B153" s="13" t="s">
        <v>639</v>
      </c>
      <c r="C153" s="13" t="s">
        <v>642</v>
      </c>
      <c r="D153" s="13" t="s">
        <v>643</v>
      </c>
      <c r="E153" s="37" t="b">
        <f t="shared" si="7"/>
        <v>1</v>
      </c>
      <c r="G153">
        <f t="shared" si="10"/>
        <v>0</v>
      </c>
    </row>
    <row r="154" spans="1:7" x14ac:dyDescent="0.35">
      <c r="A154" s="13" t="s">
        <v>534</v>
      </c>
      <c r="B154" s="13" t="s">
        <v>639</v>
      </c>
      <c r="C154" s="13" t="s">
        <v>644</v>
      </c>
      <c r="D154" s="13" t="s">
        <v>623</v>
      </c>
      <c r="E154" s="37" t="b">
        <f t="shared" si="7"/>
        <v>1</v>
      </c>
      <c r="G154">
        <f t="shared" si="10"/>
        <v>0</v>
      </c>
    </row>
    <row r="155" spans="1:7" x14ac:dyDescent="0.35">
      <c r="A155" s="13" t="s">
        <v>534</v>
      </c>
      <c r="B155" s="13" t="s">
        <v>639</v>
      </c>
      <c r="C155" s="13" t="s">
        <v>121</v>
      </c>
      <c r="D155" s="13" t="s">
        <v>536</v>
      </c>
      <c r="E155" s="37" t="b">
        <f t="shared" si="7"/>
        <v>1</v>
      </c>
      <c r="G155">
        <f t="shared" si="10"/>
        <v>0</v>
      </c>
    </row>
    <row r="156" spans="1:7" x14ac:dyDescent="0.35">
      <c r="A156" s="13" t="s">
        <v>534</v>
      </c>
      <c r="B156" s="13" t="s">
        <v>639</v>
      </c>
      <c r="C156" s="13" t="s">
        <v>119</v>
      </c>
      <c r="D156" s="13" t="s">
        <v>562</v>
      </c>
      <c r="E156" s="37" t="b">
        <f t="shared" si="7"/>
        <v>1</v>
      </c>
      <c r="G156">
        <f t="shared" si="10"/>
        <v>0</v>
      </c>
    </row>
    <row r="157" spans="1:7" x14ac:dyDescent="0.35">
      <c r="A157" s="13" t="s">
        <v>534</v>
      </c>
      <c r="B157" s="13" t="s">
        <v>639</v>
      </c>
      <c r="C157" s="13" t="s">
        <v>138</v>
      </c>
      <c r="D157" s="13" t="s">
        <v>562</v>
      </c>
      <c r="E157" s="37" t="b">
        <f t="shared" si="7"/>
        <v>1</v>
      </c>
      <c r="G157">
        <f t="shared" si="10"/>
        <v>0</v>
      </c>
    </row>
    <row r="158" spans="1:7" x14ac:dyDescent="0.35">
      <c r="A158" s="13" t="s">
        <v>534</v>
      </c>
      <c r="B158" s="13" t="s">
        <v>639</v>
      </c>
      <c r="C158" s="13" t="s">
        <v>123</v>
      </c>
      <c r="D158" s="13" t="s">
        <v>538</v>
      </c>
      <c r="E158" s="37" t="b">
        <f t="shared" si="7"/>
        <v>1</v>
      </c>
      <c r="G158">
        <f t="shared" si="10"/>
        <v>0</v>
      </c>
    </row>
    <row r="159" spans="1:7" x14ac:dyDescent="0.35">
      <c r="A159" s="13" t="s">
        <v>534</v>
      </c>
      <c r="B159" s="13" t="s">
        <v>639</v>
      </c>
      <c r="C159" s="13" t="s">
        <v>645</v>
      </c>
      <c r="D159" s="13" t="s">
        <v>538</v>
      </c>
      <c r="E159" s="37" t="b">
        <f t="shared" si="7"/>
        <v>1</v>
      </c>
      <c r="G159">
        <f t="shared" si="10"/>
        <v>0</v>
      </c>
    </row>
    <row r="160" spans="1:7" x14ac:dyDescent="0.35">
      <c r="A160" s="13" t="s">
        <v>534</v>
      </c>
      <c r="B160" s="13" t="s">
        <v>639</v>
      </c>
      <c r="C160" s="13" t="s">
        <v>646</v>
      </c>
      <c r="D160" s="13" t="s">
        <v>643</v>
      </c>
      <c r="E160" s="37" t="b">
        <f t="shared" si="7"/>
        <v>1</v>
      </c>
      <c r="G160">
        <f t="shared" si="10"/>
        <v>0</v>
      </c>
    </row>
    <row r="161" spans="1:7" x14ac:dyDescent="0.35">
      <c r="A161" s="13" t="s">
        <v>534</v>
      </c>
      <c r="B161" s="13" t="s">
        <v>639</v>
      </c>
      <c r="C161" s="13" t="s">
        <v>125</v>
      </c>
      <c r="D161" s="13" t="s">
        <v>538</v>
      </c>
      <c r="E161" s="37" t="b">
        <f t="shared" si="7"/>
        <v>1</v>
      </c>
      <c r="G161">
        <f t="shared" si="10"/>
        <v>0</v>
      </c>
    </row>
    <row r="162" spans="1:7" x14ac:dyDescent="0.35">
      <c r="A162" s="13" t="s">
        <v>534</v>
      </c>
      <c r="B162" s="13" t="s">
        <v>639</v>
      </c>
      <c r="C162" s="13" t="s">
        <v>112</v>
      </c>
      <c r="D162" s="13" t="s">
        <v>539</v>
      </c>
      <c r="E162" s="37" t="b">
        <f t="shared" si="7"/>
        <v>1</v>
      </c>
      <c r="G162">
        <f t="shared" si="10"/>
        <v>0</v>
      </c>
    </row>
    <row r="163" spans="1:7" x14ac:dyDescent="0.35">
      <c r="A163" s="13" t="s">
        <v>534</v>
      </c>
      <c r="B163" s="13" t="s">
        <v>639</v>
      </c>
      <c r="C163" s="13" t="s">
        <v>117</v>
      </c>
      <c r="D163" s="13" t="s">
        <v>538</v>
      </c>
      <c r="E163" s="37" t="b">
        <f t="shared" si="7"/>
        <v>1</v>
      </c>
      <c r="G163">
        <f t="shared" si="10"/>
        <v>0</v>
      </c>
    </row>
    <row r="164" spans="1:7" x14ac:dyDescent="0.35">
      <c r="A164" s="13" t="s">
        <v>534</v>
      </c>
      <c r="B164" s="13" t="s">
        <v>639</v>
      </c>
      <c r="C164" s="13" t="s">
        <v>647</v>
      </c>
      <c r="D164" s="13" t="s">
        <v>538</v>
      </c>
      <c r="E164" s="37" t="b">
        <f t="shared" si="7"/>
        <v>1</v>
      </c>
      <c r="G164">
        <f t="shared" si="10"/>
        <v>0</v>
      </c>
    </row>
    <row r="165" spans="1:7" x14ac:dyDescent="0.35">
      <c r="A165" s="13" t="s">
        <v>534</v>
      </c>
      <c r="B165" s="13" t="s">
        <v>639</v>
      </c>
      <c r="C165" s="13" t="s">
        <v>648</v>
      </c>
      <c r="D165" s="13" t="s">
        <v>536</v>
      </c>
      <c r="E165" s="37" t="b">
        <f t="shared" si="7"/>
        <v>1</v>
      </c>
      <c r="G165">
        <f t="shared" si="10"/>
        <v>0</v>
      </c>
    </row>
    <row r="166" spans="1:7" x14ac:dyDescent="0.35">
      <c r="A166" s="13" t="s">
        <v>534</v>
      </c>
      <c r="B166" s="13" t="s">
        <v>639</v>
      </c>
      <c r="C166" s="13" t="s">
        <v>649</v>
      </c>
      <c r="D166" s="13" t="s">
        <v>539</v>
      </c>
      <c r="E166" s="37" t="b">
        <f t="shared" si="7"/>
        <v>1</v>
      </c>
      <c r="G166">
        <f t="shared" si="10"/>
        <v>0</v>
      </c>
    </row>
    <row r="167" spans="1:7" x14ac:dyDescent="0.35">
      <c r="A167" s="13" t="s">
        <v>534</v>
      </c>
      <c r="B167" s="13" t="s">
        <v>639</v>
      </c>
      <c r="C167" s="13" t="s">
        <v>650</v>
      </c>
      <c r="D167" s="13" t="s">
        <v>538</v>
      </c>
      <c r="E167" s="37" t="b">
        <f t="shared" si="7"/>
        <v>1</v>
      </c>
      <c r="G167">
        <f t="shared" si="10"/>
        <v>0</v>
      </c>
    </row>
    <row r="168" spans="1:7" x14ac:dyDescent="0.35">
      <c r="A168" s="13" t="s">
        <v>534</v>
      </c>
      <c r="B168" s="13" t="s">
        <v>651</v>
      </c>
      <c r="C168" s="13" t="s">
        <v>603</v>
      </c>
      <c r="D168" s="13" t="s">
        <v>543</v>
      </c>
      <c r="E168" s="37" t="b">
        <f t="shared" si="7"/>
        <v>1</v>
      </c>
      <c r="G168">
        <f t="shared" si="10"/>
        <v>0</v>
      </c>
    </row>
    <row r="169" spans="1:7" x14ac:dyDescent="0.35">
      <c r="A169" s="13" t="s">
        <v>534</v>
      </c>
      <c r="B169" s="13" t="s">
        <v>651</v>
      </c>
      <c r="C169" s="13" t="s">
        <v>604</v>
      </c>
      <c r="D169" s="13" t="s">
        <v>536</v>
      </c>
      <c r="E169" s="37" t="b">
        <f t="shared" si="7"/>
        <v>1</v>
      </c>
      <c r="G169">
        <f t="shared" si="10"/>
        <v>0</v>
      </c>
    </row>
    <row r="170" spans="1:7" x14ac:dyDescent="0.35">
      <c r="A170" s="13" t="s">
        <v>534</v>
      </c>
      <c r="B170" s="13" t="s">
        <v>651</v>
      </c>
      <c r="C170" s="13" t="s">
        <v>605</v>
      </c>
      <c r="D170" s="13" t="s">
        <v>543</v>
      </c>
      <c r="E170" s="37" t="b">
        <f t="shared" si="7"/>
        <v>1</v>
      </c>
      <c r="G170">
        <f t="shared" si="10"/>
        <v>0</v>
      </c>
    </row>
    <row r="171" spans="1:7" x14ac:dyDescent="0.35">
      <c r="A171" s="13" t="s">
        <v>534</v>
      </c>
      <c r="B171" s="13" t="s">
        <v>651</v>
      </c>
      <c r="C171" s="13" t="s">
        <v>606</v>
      </c>
      <c r="D171" s="13" t="s">
        <v>543</v>
      </c>
      <c r="E171" s="37" t="b">
        <f t="shared" si="7"/>
        <v>1</v>
      </c>
      <c r="G171">
        <f t="shared" si="10"/>
        <v>0</v>
      </c>
    </row>
    <row r="172" spans="1:7" x14ac:dyDescent="0.35">
      <c r="A172" s="13" t="s">
        <v>534</v>
      </c>
      <c r="B172" s="13" t="s">
        <v>651</v>
      </c>
      <c r="C172" s="13" t="s">
        <v>607</v>
      </c>
      <c r="D172" s="13" t="s">
        <v>543</v>
      </c>
      <c r="E172" s="37" t="b">
        <f t="shared" si="7"/>
        <v>1</v>
      </c>
      <c r="G172">
        <f t="shared" si="10"/>
        <v>0</v>
      </c>
    </row>
    <row r="173" spans="1:7" x14ac:dyDescent="0.35">
      <c r="A173" s="13" t="s">
        <v>534</v>
      </c>
      <c r="B173" s="13" t="s">
        <v>651</v>
      </c>
      <c r="C173" s="13" t="s">
        <v>608</v>
      </c>
      <c r="D173" s="13" t="s">
        <v>543</v>
      </c>
      <c r="E173" s="37" t="b">
        <f t="shared" si="7"/>
        <v>1</v>
      </c>
      <c r="G173">
        <f t="shared" si="10"/>
        <v>0</v>
      </c>
    </row>
    <row r="174" spans="1:7" x14ac:dyDescent="0.35">
      <c r="A174" s="13" t="s">
        <v>534</v>
      </c>
      <c r="B174" s="13" t="s">
        <v>651</v>
      </c>
      <c r="C174" s="13" t="s">
        <v>609</v>
      </c>
      <c r="D174" s="13" t="s">
        <v>543</v>
      </c>
      <c r="E174" s="37" t="b">
        <f t="shared" si="7"/>
        <v>1</v>
      </c>
      <c r="G174">
        <f t="shared" si="10"/>
        <v>0</v>
      </c>
    </row>
    <row r="175" spans="1:7" x14ac:dyDescent="0.35">
      <c r="A175" s="13" t="s">
        <v>534</v>
      </c>
      <c r="B175" s="13" t="s">
        <v>652</v>
      </c>
      <c r="C175" s="13" t="s">
        <v>607</v>
      </c>
      <c r="D175" s="13" t="s">
        <v>543</v>
      </c>
      <c r="E175" s="37" t="b">
        <f t="shared" si="7"/>
        <v>1</v>
      </c>
      <c r="G175">
        <f t="shared" si="10"/>
        <v>0</v>
      </c>
    </row>
    <row r="176" spans="1:7" x14ac:dyDescent="0.35">
      <c r="A176" s="13" t="s">
        <v>534</v>
      </c>
      <c r="B176" s="13" t="s">
        <v>652</v>
      </c>
      <c r="C176" s="13" t="s">
        <v>606</v>
      </c>
      <c r="D176" s="13" t="s">
        <v>543</v>
      </c>
      <c r="E176" s="37" t="b">
        <f t="shared" si="7"/>
        <v>1</v>
      </c>
      <c r="G176">
        <f t="shared" si="10"/>
        <v>0</v>
      </c>
    </row>
    <row r="177" spans="1:7" x14ac:dyDescent="0.35">
      <c r="A177" s="13" t="s">
        <v>534</v>
      </c>
      <c r="B177" s="13" t="s">
        <v>652</v>
      </c>
      <c r="C177" s="13" t="s">
        <v>605</v>
      </c>
      <c r="D177" s="13" t="s">
        <v>543</v>
      </c>
      <c r="E177" s="37" t="b">
        <f t="shared" si="7"/>
        <v>1</v>
      </c>
      <c r="G177">
        <f t="shared" si="10"/>
        <v>0</v>
      </c>
    </row>
    <row r="178" spans="1:7" x14ac:dyDescent="0.35">
      <c r="A178" s="13" t="s">
        <v>534</v>
      </c>
      <c r="B178" s="13" t="s">
        <v>652</v>
      </c>
      <c r="C178" s="13" t="s">
        <v>603</v>
      </c>
      <c r="D178" s="13" t="s">
        <v>543</v>
      </c>
      <c r="E178" s="37" t="b">
        <f t="shared" si="7"/>
        <v>1</v>
      </c>
      <c r="G178">
        <f t="shared" si="10"/>
        <v>0</v>
      </c>
    </row>
    <row r="179" spans="1:7" x14ac:dyDescent="0.35">
      <c r="A179" s="13" t="s">
        <v>534</v>
      </c>
      <c r="B179" s="13" t="s">
        <v>652</v>
      </c>
      <c r="C179" s="13" t="s">
        <v>604</v>
      </c>
      <c r="D179" s="13" t="s">
        <v>536</v>
      </c>
      <c r="E179" s="37" t="b">
        <f t="shared" si="7"/>
        <v>1</v>
      </c>
      <c r="G179">
        <f t="shared" si="10"/>
        <v>0</v>
      </c>
    </row>
    <row r="180" spans="1:7" x14ac:dyDescent="0.35">
      <c r="A180" s="13" t="s">
        <v>534</v>
      </c>
      <c r="B180" s="13" t="s">
        <v>653</v>
      </c>
      <c r="C180" s="13" t="s">
        <v>642</v>
      </c>
      <c r="D180" s="13" t="s">
        <v>643</v>
      </c>
      <c r="E180" s="37" t="b">
        <f t="shared" si="7"/>
        <v>1</v>
      </c>
      <c r="G180">
        <f t="shared" si="10"/>
        <v>0</v>
      </c>
    </row>
    <row r="181" spans="1:7" x14ac:dyDescent="0.35">
      <c r="A181" s="13" t="s">
        <v>534</v>
      </c>
      <c r="B181" s="13" t="s">
        <v>653</v>
      </c>
      <c r="C181" s="13" t="s">
        <v>634</v>
      </c>
      <c r="D181" s="13" t="s">
        <v>539</v>
      </c>
      <c r="E181" s="37" t="b">
        <f t="shared" si="7"/>
        <v>1</v>
      </c>
      <c r="G181">
        <f t="shared" si="10"/>
        <v>0</v>
      </c>
    </row>
    <row r="182" spans="1:7" x14ac:dyDescent="0.35">
      <c r="A182" s="13" t="s">
        <v>534</v>
      </c>
      <c r="B182" s="13" t="s">
        <v>653</v>
      </c>
      <c r="C182" s="13" t="s">
        <v>635</v>
      </c>
      <c r="D182" s="13" t="s">
        <v>538</v>
      </c>
      <c r="E182" s="37" t="b">
        <f t="shared" si="7"/>
        <v>1</v>
      </c>
      <c r="G182">
        <f t="shared" si="10"/>
        <v>0</v>
      </c>
    </row>
    <row r="183" spans="1:7" x14ac:dyDescent="0.35">
      <c r="A183" s="13" t="s">
        <v>534</v>
      </c>
      <c r="B183" s="13" t="s">
        <v>653</v>
      </c>
      <c r="C183" s="13" t="s">
        <v>654</v>
      </c>
      <c r="D183" s="13" t="s">
        <v>536</v>
      </c>
      <c r="E183" s="37" t="b">
        <f t="shared" si="7"/>
        <v>1</v>
      </c>
      <c r="G183">
        <f t="shared" si="10"/>
        <v>0</v>
      </c>
    </row>
    <row r="184" spans="1:7" x14ac:dyDescent="0.35">
      <c r="A184" s="13" t="s">
        <v>534</v>
      </c>
      <c r="B184" s="13" t="s">
        <v>653</v>
      </c>
      <c r="C184" s="13" t="s">
        <v>655</v>
      </c>
      <c r="D184" s="13" t="s">
        <v>538</v>
      </c>
      <c r="E184" s="37" t="b">
        <f t="shared" si="7"/>
        <v>1</v>
      </c>
      <c r="G184">
        <f t="shared" si="10"/>
        <v>0</v>
      </c>
    </row>
    <row r="185" spans="1:7" x14ac:dyDescent="0.35">
      <c r="A185" s="13" t="s">
        <v>534</v>
      </c>
      <c r="B185" s="13" t="s">
        <v>653</v>
      </c>
      <c r="C185" s="13" t="s">
        <v>656</v>
      </c>
      <c r="D185" s="13" t="s">
        <v>643</v>
      </c>
      <c r="E185" s="37" t="b">
        <f t="shared" si="7"/>
        <v>1</v>
      </c>
      <c r="G185">
        <f t="shared" si="10"/>
        <v>0</v>
      </c>
    </row>
    <row r="186" spans="1:7" x14ac:dyDescent="0.35">
      <c r="A186" s="13" t="s">
        <v>534</v>
      </c>
      <c r="B186" s="13" t="s">
        <v>653</v>
      </c>
      <c r="C186" s="13" t="s">
        <v>112</v>
      </c>
      <c r="D186" s="13" t="s">
        <v>539</v>
      </c>
      <c r="E186" s="37" t="b">
        <f t="shared" si="7"/>
        <v>1</v>
      </c>
      <c r="G186">
        <f t="shared" si="10"/>
        <v>0</v>
      </c>
    </row>
    <row r="187" spans="1:7" x14ac:dyDescent="0.35">
      <c r="A187" s="13" t="s">
        <v>534</v>
      </c>
      <c r="B187" s="13" t="s">
        <v>653</v>
      </c>
      <c r="C187" s="13" t="s">
        <v>117</v>
      </c>
      <c r="D187" s="13" t="s">
        <v>538</v>
      </c>
      <c r="E187" s="37" t="b">
        <f t="shared" si="7"/>
        <v>1</v>
      </c>
      <c r="G187">
        <f t="shared" si="10"/>
        <v>0</v>
      </c>
    </row>
    <row r="188" spans="1:7" x14ac:dyDescent="0.35">
      <c r="A188" s="13" t="s">
        <v>534</v>
      </c>
      <c r="B188" s="13" t="s">
        <v>657</v>
      </c>
      <c r="C188" s="13" t="s">
        <v>149</v>
      </c>
      <c r="D188" s="13" t="s">
        <v>536</v>
      </c>
      <c r="E188" s="37" t="b">
        <f t="shared" si="7"/>
        <v>1</v>
      </c>
      <c r="G188">
        <f t="shared" si="10"/>
        <v>0</v>
      </c>
    </row>
    <row r="189" spans="1:7" x14ac:dyDescent="0.35">
      <c r="A189" s="13" t="s">
        <v>534</v>
      </c>
      <c r="B189" s="13" t="s">
        <v>657</v>
      </c>
      <c r="C189" s="13" t="s">
        <v>156</v>
      </c>
      <c r="D189" s="13" t="s">
        <v>658</v>
      </c>
      <c r="E189" s="37" t="b">
        <f t="shared" si="7"/>
        <v>1</v>
      </c>
      <c r="G189">
        <f t="shared" si="10"/>
        <v>0</v>
      </c>
    </row>
    <row r="190" spans="1:7" x14ac:dyDescent="0.35">
      <c r="A190" s="13" t="s">
        <v>534</v>
      </c>
      <c r="B190" s="13" t="s">
        <v>657</v>
      </c>
      <c r="C190" s="13" t="s">
        <v>151</v>
      </c>
      <c r="D190" s="13" t="s">
        <v>554</v>
      </c>
      <c r="E190" s="37" t="b">
        <f t="shared" si="7"/>
        <v>1</v>
      </c>
      <c r="G190">
        <f t="shared" si="10"/>
        <v>0</v>
      </c>
    </row>
    <row r="191" spans="1:7" x14ac:dyDescent="0.35">
      <c r="A191" s="13" t="s">
        <v>534</v>
      </c>
      <c r="B191" s="13" t="s">
        <v>657</v>
      </c>
      <c r="C191" s="13" t="s">
        <v>646</v>
      </c>
      <c r="D191" s="13" t="s">
        <v>643</v>
      </c>
      <c r="E191" s="37" t="b">
        <f t="shared" si="7"/>
        <v>1</v>
      </c>
      <c r="G191">
        <f t="shared" si="10"/>
        <v>0</v>
      </c>
    </row>
    <row r="192" spans="1:7" x14ac:dyDescent="0.35">
      <c r="A192" s="13" t="s">
        <v>534</v>
      </c>
      <c r="B192" s="13" t="s">
        <v>657</v>
      </c>
      <c r="C192" s="13" t="s">
        <v>112</v>
      </c>
      <c r="D192" s="13" t="s">
        <v>539</v>
      </c>
      <c r="E192" s="37" t="b">
        <f t="shared" si="7"/>
        <v>1</v>
      </c>
      <c r="G192">
        <f t="shared" si="10"/>
        <v>0</v>
      </c>
    </row>
    <row r="193" spans="1:7" x14ac:dyDescent="0.35">
      <c r="A193" s="13" t="s">
        <v>534</v>
      </c>
      <c r="B193" s="13" t="s">
        <v>657</v>
      </c>
      <c r="C193" s="13" t="s">
        <v>117</v>
      </c>
      <c r="D193" s="13" t="s">
        <v>538</v>
      </c>
      <c r="E193" s="37" t="b">
        <f t="shared" si="7"/>
        <v>1</v>
      </c>
      <c r="G193">
        <f t="shared" si="10"/>
        <v>0</v>
      </c>
    </row>
    <row r="194" spans="1:7" x14ac:dyDescent="0.35">
      <c r="A194" s="13" t="s">
        <v>534</v>
      </c>
      <c r="B194" s="13" t="s">
        <v>659</v>
      </c>
      <c r="C194" s="13" t="s">
        <v>160</v>
      </c>
      <c r="D194" s="13" t="s">
        <v>536</v>
      </c>
      <c r="E194" s="37" t="b">
        <f t="shared" si="7"/>
        <v>1</v>
      </c>
      <c r="G194">
        <f t="shared" si="10"/>
        <v>0</v>
      </c>
    </row>
    <row r="195" spans="1:7" x14ac:dyDescent="0.35">
      <c r="A195" s="13" t="s">
        <v>534</v>
      </c>
      <c r="B195" s="13" t="s">
        <v>659</v>
      </c>
      <c r="C195" s="13" t="s">
        <v>162</v>
      </c>
      <c r="D195" s="13" t="s">
        <v>660</v>
      </c>
      <c r="E195" s="37" t="b">
        <f t="shared" si="7"/>
        <v>1</v>
      </c>
      <c r="G195">
        <f t="shared" si="10"/>
        <v>0</v>
      </c>
    </row>
    <row r="196" spans="1:7" x14ac:dyDescent="0.35">
      <c r="A196" s="13" t="s">
        <v>534</v>
      </c>
      <c r="B196" s="13" t="s">
        <v>659</v>
      </c>
      <c r="C196" s="13" t="s">
        <v>661</v>
      </c>
      <c r="D196" s="13" t="s">
        <v>554</v>
      </c>
      <c r="E196" s="37" t="b">
        <f t="shared" si="7"/>
        <v>1</v>
      </c>
      <c r="G196">
        <f t="shared" si="10"/>
        <v>0</v>
      </c>
    </row>
    <row r="197" spans="1:7" x14ac:dyDescent="0.35">
      <c r="A197" s="13" t="s">
        <v>534</v>
      </c>
      <c r="B197" s="13" t="s">
        <v>659</v>
      </c>
      <c r="C197" s="13" t="s">
        <v>646</v>
      </c>
      <c r="D197" s="13" t="s">
        <v>539</v>
      </c>
      <c r="E197" s="37" t="b">
        <f t="shared" ref="E197:E260" si="11">EXACT(C197,UPPER(C197))</f>
        <v>1</v>
      </c>
      <c r="G197">
        <f t="shared" si="10"/>
        <v>0</v>
      </c>
    </row>
    <row r="198" spans="1:7" x14ac:dyDescent="0.35">
      <c r="A198" s="13" t="s">
        <v>534</v>
      </c>
      <c r="B198" s="13" t="s">
        <v>659</v>
      </c>
      <c r="C198" s="13" t="s">
        <v>112</v>
      </c>
      <c r="D198" s="13" t="s">
        <v>539</v>
      </c>
      <c r="E198" s="37" t="b">
        <f t="shared" si="11"/>
        <v>1</v>
      </c>
      <c r="G198">
        <f t="shared" si="10"/>
        <v>0</v>
      </c>
    </row>
    <row r="199" spans="1:7" x14ac:dyDescent="0.35">
      <c r="A199" s="13" t="s">
        <v>534</v>
      </c>
      <c r="B199" s="13" t="s">
        <v>659</v>
      </c>
      <c r="C199" s="13" t="s">
        <v>117</v>
      </c>
      <c r="D199" s="13" t="s">
        <v>538</v>
      </c>
      <c r="E199" s="37" t="b">
        <f t="shared" si="11"/>
        <v>1</v>
      </c>
      <c r="G199">
        <f t="shared" si="10"/>
        <v>0</v>
      </c>
    </row>
    <row r="200" spans="1:7" x14ac:dyDescent="0.35">
      <c r="A200" s="13" t="s">
        <v>534</v>
      </c>
      <c r="B200" s="13" t="s">
        <v>662</v>
      </c>
      <c r="C200" s="13" t="s">
        <v>663</v>
      </c>
      <c r="D200" s="13" t="s">
        <v>539</v>
      </c>
      <c r="E200" s="37" t="b">
        <f t="shared" si="11"/>
        <v>1</v>
      </c>
      <c r="G200">
        <f t="shared" si="10"/>
        <v>0</v>
      </c>
    </row>
    <row r="201" spans="1:7" x14ac:dyDescent="0.35">
      <c r="A201" s="13" t="s">
        <v>534</v>
      </c>
      <c r="B201" s="13" t="s">
        <v>662</v>
      </c>
      <c r="C201" s="13" t="s">
        <v>664</v>
      </c>
      <c r="D201" s="13" t="s">
        <v>536</v>
      </c>
      <c r="E201" s="37" t="b">
        <f t="shared" si="11"/>
        <v>1</v>
      </c>
      <c r="G201">
        <f t="shared" si="10"/>
        <v>0</v>
      </c>
    </row>
    <row r="202" spans="1:7" x14ac:dyDescent="0.35">
      <c r="A202" s="13" t="s">
        <v>534</v>
      </c>
      <c r="B202" s="13" t="s">
        <v>662</v>
      </c>
      <c r="C202" s="13" t="s">
        <v>665</v>
      </c>
      <c r="D202" s="13" t="s">
        <v>666</v>
      </c>
      <c r="E202" s="37" t="b">
        <f t="shared" si="11"/>
        <v>1</v>
      </c>
      <c r="G202">
        <f t="shared" si="10"/>
        <v>0</v>
      </c>
    </row>
    <row r="203" spans="1:7" x14ac:dyDescent="0.35">
      <c r="A203" s="13" t="s">
        <v>534</v>
      </c>
      <c r="B203" s="13" t="s">
        <v>662</v>
      </c>
      <c r="C203" s="13" t="s">
        <v>174</v>
      </c>
      <c r="D203" s="13" t="s">
        <v>536</v>
      </c>
      <c r="E203" s="37" t="b">
        <f t="shared" si="11"/>
        <v>1</v>
      </c>
      <c r="G203">
        <f t="shared" si="10"/>
        <v>0</v>
      </c>
    </row>
    <row r="204" spans="1:7" x14ac:dyDescent="0.35">
      <c r="A204" s="13" t="s">
        <v>534</v>
      </c>
      <c r="B204" s="13" t="s">
        <v>662</v>
      </c>
      <c r="C204" s="13" t="s">
        <v>667</v>
      </c>
      <c r="D204" s="13" t="s">
        <v>593</v>
      </c>
      <c r="E204" s="37" t="b">
        <f t="shared" si="11"/>
        <v>1</v>
      </c>
      <c r="G204">
        <f t="shared" si="10"/>
        <v>0</v>
      </c>
    </row>
    <row r="205" spans="1:7" x14ac:dyDescent="0.35">
      <c r="A205" s="13" t="s">
        <v>534</v>
      </c>
      <c r="B205" s="13" t="s">
        <v>662</v>
      </c>
      <c r="C205" s="13" t="s">
        <v>166</v>
      </c>
      <c r="D205" s="13" t="s">
        <v>668</v>
      </c>
      <c r="E205" s="37" t="b">
        <f t="shared" si="11"/>
        <v>1</v>
      </c>
      <c r="G205">
        <f t="shared" si="10"/>
        <v>0</v>
      </c>
    </row>
    <row r="206" spans="1:7" x14ac:dyDescent="0.35">
      <c r="A206" s="13" t="s">
        <v>534</v>
      </c>
      <c r="B206" s="13" t="s">
        <v>662</v>
      </c>
      <c r="C206" s="13" t="s">
        <v>170</v>
      </c>
      <c r="D206" s="13" t="s">
        <v>601</v>
      </c>
      <c r="E206" s="37" t="b">
        <f t="shared" si="11"/>
        <v>1</v>
      </c>
      <c r="G206">
        <f t="shared" si="10"/>
        <v>0</v>
      </c>
    </row>
    <row r="207" spans="1:7" x14ac:dyDescent="0.35">
      <c r="A207" s="13" t="s">
        <v>534</v>
      </c>
      <c r="B207" s="13" t="s">
        <v>662</v>
      </c>
      <c r="C207" s="13" t="s">
        <v>669</v>
      </c>
      <c r="D207" s="13" t="s">
        <v>580</v>
      </c>
      <c r="E207" s="37" t="b">
        <f t="shared" si="11"/>
        <v>1</v>
      </c>
      <c r="G207">
        <f t="shared" si="10"/>
        <v>0</v>
      </c>
    </row>
    <row r="208" spans="1:7" x14ac:dyDescent="0.35">
      <c r="A208" s="13" t="s">
        <v>534</v>
      </c>
      <c r="B208" s="13" t="s">
        <v>662</v>
      </c>
      <c r="C208" s="13" t="s">
        <v>181</v>
      </c>
      <c r="D208" s="13" t="s">
        <v>666</v>
      </c>
      <c r="E208" s="37" t="b">
        <f t="shared" si="11"/>
        <v>1</v>
      </c>
      <c r="G208">
        <f t="shared" si="10"/>
        <v>0</v>
      </c>
    </row>
    <row r="209" spans="1:7" x14ac:dyDescent="0.35">
      <c r="A209" s="13" t="s">
        <v>534</v>
      </c>
      <c r="B209" s="13" t="s">
        <v>662</v>
      </c>
      <c r="C209" s="13" t="s">
        <v>646</v>
      </c>
      <c r="D209" s="13" t="s">
        <v>643</v>
      </c>
      <c r="E209" s="37" t="b">
        <f t="shared" si="11"/>
        <v>1</v>
      </c>
      <c r="G209">
        <f t="shared" si="10"/>
        <v>0</v>
      </c>
    </row>
    <row r="210" spans="1:7" x14ac:dyDescent="0.35">
      <c r="A210" s="13" t="s">
        <v>534</v>
      </c>
      <c r="B210" s="13" t="s">
        <v>662</v>
      </c>
      <c r="C210" s="13" t="s">
        <v>112</v>
      </c>
      <c r="D210" s="13" t="s">
        <v>539</v>
      </c>
      <c r="E210" s="37" t="b">
        <f t="shared" si="11"/>
        <v>1</v>
      </c>
      <c r="G210">
        <f t="shared" si="10"/>
        <v>0</v>
      </c>
    </row>
    <row r="211" spans="1:7" x14ac:dyDescent="0.35">
      <c r="A211" s="13" t="s">
        <v>534</v>
      </c>
      <c r="B211" s="13" t="s">
        <v>662</v>
      </c>
      <c r="C211" s="13" t="s">
        <v>117</v>
      </c>
      <c r="D211" s="13" t="s">
        <v>538</v>
      </c>
      <c r="E211" s="37" t="b">
        <f t="shared" si="11"/>
        <v>1</v>
      </c>
      <c r="G211">
        <f t="shared" si="10"/>
        <v>0</v>
      </c>
    </row>
    <row r="212" spans="1:7" x14ac:dyDescent="0.35">
      <c r="A212" s="13" t="s">
        <v>534</v>
      </c>
      <c r="B212" s="13" t="s">
        <v>670</v>
      </c>
      <c r="C212" s="13" t="s">
        <v>642</v>
      </c>
      <c r="D212" s="13" t="s">
        <v>643</v>
      </c>
      <c r="E212" s="37" t="b">
        <f t="shared" si="11"/>
        <v>1</v>
      </c>
      <c r="G212">
        <f t="shared" ref="G212:G275" si="12">COUNTIF(C:C,F212)</f>
        <v>0</v>
      </c>
    </row>
    <row r="213" spans="1:7" x14ac:dyDescent="0.35">
      <c r="A213" s="13" t="s">
        <v>534</v>
      </c>
      <c r="B213" s="13" t="s">
        <v>670</v>
      </c>
      <c r="C213" s="13" t="s">
        <v>671</v>
      </c>
      <c r="D213" s="13" t="s">
        <v>643</v>
      </c>
      <c r="E213" s="37" t="b">
        <f t="shared" si="11"/>
        <v>1</v>
      </c>
      <c r="G213">
        <f t="shared" si="12"/>
        <v>0</v>
      </c>
    </row>
    <row r="214" spans="1:7" x14ac:dyDescent="0.35">
      <c r="A214" s="13" t="s">
        <v>534</v>
      </c>
      <c r="B214" s="13" t="s">
        <v>670</v>
      </c>
      <c r="C214" s="13" t="s">
        <v>648</v>
      </c>
      <c r="D214" s="13" t="s">
        <v>536</v>
      </c>
      <c r="E214" s="37" t="b">
        <f t="shared" si="11"/>
        <v>1</v>
      </c>
      <c r="G214">
        <f t="shared" si="12"/>
        <v>0</v>
      </c>
    </row>
    <row r="215" spans="1:7" x14ac:dyDescent="0.35">
      <c r="A215" s="13" t="s">
        <v>534</v>
      </c>
      <c r="B215" s="13" t="s">
        <v>670</v>
      </c>
      <c r="C215" s="13" t="s">
        <v>649</v>
      </c>
      <c r="D215" s="13" t="s">
        <v>539</v>
      </c>
      <c r="E215" s="37" t="b">
        <f t="shared" si="11"/>
        <v>1</v>
      </c>
      <c r="G215">
        <f t="shared" si="12"/>
        <v>0</v>
      </c>
    </row>
    <row r="216" spans="1:7" x14ac:dyDescent="0.35">
      <c r="A216" s="13" t="s">
        <v>534</v>
      </c>
      <c r="B216" s="13" t="s">
        <v>670</v>
      </c>
      <c r="C216" s="13" t="s">
        <v>650</v>
      </c>
      <c r="D216" s="13" t="s">
        <v>538</v>
      </c>
      <c r="E216" s="37" t="b">
        <f t="shared" si="11"/>
        <v>1</v>
      </c>
      <c r="G216">
        <f t="shared" si="12"/>
        <v>0</v>
      </c>
    </row>
    <row r="217" spans="1:7" x14ac:dyDescent="0.35">
      <c r="A217" s="13" t="s">
        <v>534</v>
      </c>
      <c r="B217" s="13" t="s">
        <v>672</v>
      </c>
      <c r="C217" s="13" t="s">
        <v>673</v>
      </c>
      <c r="D217" s="13" t="s">
        <v>674</v>
      </c>
      <c r="E217" s="37" t="b">
        <f t="shared" si="11"/>
        <v>1</v>
      </c>
      <c r="G217">
        <f t="shared" si="12"/>
        <v>0</v>
      </c>
    </row>
    <row r="218" spans="1:7" x14ac:dyDescent="0.35">
      <c r="A218" s="13" t="s">
        <v>534</v>
      </c>
      <c r="B218" s="13" t="s">
        <v>672</v>
      </c>
      <c r="C218" s="13" t="s">
        <v>675</v>
      </c>
      <c r="D218" s="13" t="s">
        <v>536</v>
      </c>
      <c r="E218" s="37" t="b">
        <f t="shared" si="11"/>
        <v>1</v>
      </c>
      <c r="G218">
        <f t="shared" si="12"/>
        <v>0</v>
      </c>
    </row>
    <row r="219" spans="1:7" x14ac:dyDescent="0.35">
      <c r="A219" s="13" t="s">
        <v>534</v>
      </c>
      <c r="B219" s="13" t="s">
        <v>672</v>
      </c>
      <c r="C219" s="13" t="s">
        <v>676</v>
      </c>
      <c r="D219" s="13" t="s">
        <v>543</v>
      </c>
      <c r="E219" s="37" t="b">
        <f t="shared" si="11"/>
        <v>1</v>
      </c>
      <c r="G219">
        <f t="shared" si="12"/>
        <v>0</v>
      </c>
    </row>
    <row r="220" spans="1:7" x14ac:dyDescent="0.35">
      <c r="A220" s="13" t="s">
        <v>534</v>
      </c>
      <c r="B220" s="13" t="s">
        <v>677</v>
      </c>
      <c r="C220" s="13" t="s">
        <v>678</v>
      </c>
      <c r="D220" s="13" t="s">
        <v>593</v>
      </c>
      <c r="E220" s="37" t="b">
        <f t="shared" si="11"/>
        <v>1</v>
      </c>
      <c r="G220">
        <f t="shared" si="12"/>
        <v>0</v>
      </c>
    </row>
    <row r="221" spans="1:7" x14ac:dyDescent="0.35">
      <c r="A221" s="13" t="s">
        <v>534</v>
      </c>
      <c r="B221" s="13" t="s">
        <v>677</v>
      </c>
      <c r="C221" s="13" t="s">
        <v>679</v>
      </c>
      <c r="D221" s="13" t="s">
        <v>593</v>
      </c>
      <c r="E221" s="37" t="b">
        <f t="shared" si="11"/>
        <v>1</v>
      </c>
      <c r="G221">
        <f t="shared" si="12"/>
        <v>0</v>
      </c>
    </row>
    <row r="222" spans="1:7" x14ac:dyDescent="0.35">
      <c r="A222" s="13" t="s">
        <v>534</v>
      </c>
      <c r="B222" s="13" t="s">
        <v>677</v>
      </c>
      <c r="C222" s="13" t="s">
        <v>680</v>
      </c>
      <c r="D222" s="13" t="s">
        <v>593</v>
      </c>
      <c r="E222" s="37" t="b">
        <f t="shared" si="11"/>
        <v>1</v>
      </c>
      <c r="G222">
        <f t="shared" si="12"/>
        <v>0</v>
      </c>
    </row>
    <row r="223" spans="1:7" x14ac:dyDescent="0.35">
      <c r="A223" s="13" t="s">
        <v>534</v>
      </c>
      <c r="B223" s="13" t="s">
        <v>677</v>
      </c>
      <c r="C223" s="13" t="s">
        <v>681</v>
      </c>
      <c r="D223" s="13" t="s">
        <v>539</v>
      </c>
      <c r="E223" s="37" t="b">
        <f t="shared" si="11"/>
        <v>1</v>
      </c>
      <c r="G223">
        <f t="shared" si="12"/>
        <v>0</v>
      </c>
    </row>
    <row r="224" spans="1:7" x14ac:dyDescent="0.35">
      <c r="A224" s="13" t="s">
        <v>534</v>
      </c>
      <c r="B224" s="13" t="s">
        <v>677</v>
      </c>
      <c r="C224" s="13" t="s">
        <v>682</v>
      </c>
      <c r="D224" s="13" t="s">
        <v>562</v>
      </c>
      <c r="E224" s="37" t="b">
        <f t="shared" si="11"/>
        <v>1</v>
      </c>
      <c r="G224">
        <f t="shared" si="12"/>
        <v>0</v>
      </c>
    </row>
    <row r="225" spans="1:7" x14ac:dyDescent="0.35">
      <c r="A225" s="13" t="s">
        <v>534</v>
      </c>
      <c r="B225" s="13" t="s">
        <v>677</v>
      </c>
      <c r="C225" s="13" t="s">
        <v>683</v>
      </c>
      <c r="D225" s="13" t="s">
        <v>580</v>
      </c>
      <c r="E225" s="37" t="b">
        <f t="shared" si="11"/>
        <v>1</v>
      </c>
      <c r="G225">
        <f t="shared" si="12"/>
        <v>0</v>
      </c>
    </row>
    <row r="226" spans="1:7" x14ac:dyDescent="0.35">
      <c r="A226" s="13" t="s">
        <v>534</v>
      </c>
      <c r="B226" s="13" t="s">
        <v>677</v>
      </c>
      <c r="C226" s="13" t="s">
        <v>684</v>
      </c>
      <c r="D226" s="13" t="s">
        <v>616</v>
      </c>
      <c r="E226" s="37" t="b">
        <f t="shared" si="11"/>
        <v>1</v>
      </c>
      <c r="G226">
        <f t="shared" si="12"/>
        <v>0</v>
      </c>
    </row>
    <row r="227" spans="1:7" x14ac:dyDescent="0.35">
      <c r="A227" s="13" t="s">
        <v>534</v>
      </c>
      <c r="B227" s="13" t="s">
        <v>677</v>
      </c>
      <c r="C227" s="13" t="s">
        <v>685</v>
      </c>
      <c r="D227" s="13" t="s">
        <v>593</v>
      </c>
      <c r="E227" s="37" t="b">
        <f t="shared" si="11"/>
        <v>1</v>
      </c>
      <c r="G227">
        <f t="shared" si="12"/>
        <v>0</v>
      </c>
    </row>
    <row r="228" spans="1:7" x14ac:dyDescent="0.35">
      <c r="A228" s="13" t="s">
        <v>534</v>
      </c>
      <c r="B228" s="13" t="s">
        <v>677</v>
      </c>
      <c r="C228" s="13" t="s">
        <v>686</v>
      </c>
      <c r="D228" s="13" t="s">
        <v>536</v>
      </c>
      <c r="E228" s="37" t="b">
        <f t="shared" si="11"/>
        <v>1</v>
      </c>
      <c r="G228">
        <f t="shared" si="12"/>
        <v>0</v>
      </c>
    </row>
    <row r="229" spans="1:7" x14ac:dyDescent="0.35">
      <c r="A229" s="13" t="s">
        <v>534</v>
      </c>
      <c r="B229" s="13" t="s">
        <v>687</v>
      </c>
      <c r="C229" s="13" t="s">
        <v>121</v>
      </c>
      <c r="D229" s="13" t="s">
        <v>536</v>
      </c>
      <c r="E229" s="37" t="b">
        <f t="shared" si="11"/>
        <v>1</v>
      </c>
      <c r="G229">
        <f t="shared" si="12"/>
        <v>0</v>
      </c>
    </row>
    <row r="230" spans="1:7" x14ac:dyDescent="0.35">
      <c r="A230" s="13" t="s">
        <v>534</v>
      </c>
      <c r="B230" s="13" t="s">
        <v>687</v>
      </c>
      <c r="C230" s="13" t="s">
        <v>656</v>
      </c>
      <c r="D230" s="13" t="s">
        <v>643</v>
      </c>
      <c r="E230" s="37" t="b">
        <f t="shared" si="11"/>
        <v>1</v>
      </c>
      <c r="G230">
        <f t="shared" si="12"/>
        <v>0</v>
      </c>
    </row>
    <row r="231" spans="1:7" x14ac:dyDescent="0.35">
      <c r="A231" s="13" t="s">
        <v>534</v>
      </c>
      <c r="B231" s="13" t="s">
        <v>687</v>
      </c>
      <c r="C231" s="13" t="s">
        <v>112</v>
      </c>
      <c r="D231" s="13" t="s">
        <v>539</v>
      </c>
      <c r="E231" s="37" t="b">
        <f t="shared" si="11"/>
        <v>1</v>
      </c>
      <c r="G231">
        <f t="shared" si="12"/>
        <v>0</v>
      </c>
    </row>
    <row r="232" spans="1:7" x14ac:dyDescent="0.35">
      <c r="A232" s="13" t="s">
        <v>534</v>
      </c>
      <c r="B232" s="13" t="s">
        <v>687</v>
      </c>
      <c r="C232" s="13" t="s">
        <v>117</v>
      </c>
      <c r="D232" s="13" t="s">
        <v>538</v>
      </c>
      <c r="E232" s="37" t="b">
        <f t="shared" si="11"/>
        <v>1</v>
      </c>
      <c r="G232">
        <f t="shared" si="12"/>
        <v>0</v>
      </c>
    </row>
    <row r="233" spans="1:7" x14ac:dyDescent="0.35">
      <c r="A233" s="13" t="s">
        <v>534</v>
      </c>
      <c r="B233" s="13" t="s">
        <v>687</v>
      </c>
      <c r="C233" s="13" t="s">
        <v>597</v>
      </c>
      <c r="D233" s="13" t="s">
        <v>643</v>
      </c>
      <c r="E233" s="37" t="b">
        <f t="shared" si="11"/>
        <v>1</v>
      </c>
      <c r="G233">
        <f t="shared" si="12"/>
        <v>0</v>
      </c>
    </row>
    <row r="234" spans="1:7" x14ac:dyDescent="0.35">
      <c r="A234" s="13" t="s">
        <v>534</v>
      </c>
      <c r="B234" s="13" t="s">
        <v>687</v>
      </c>
      <c r="C234" s="13" t="s">
        <v>184</v>
      </c>
      <c r="D234" s="13" t="s">
        <v>538</v>
      </c>
      <c r="E234" s="37" t="b">
        <f t="shared" si="11"/>
        <v>1</v>
      </c>
      <c r="G234">
        <f t="shared" si="12"/>
        <v>0</v>
      </c>
    </row>
    <row r="235" spans="1:7" x14ac:dyDescent="0.35">
      <c r="A235" s="13" t="s">
        <v>534</v>
      </c>
      <c r="B235" s="13" t="s">
        <v>687</v>
      </c>
      <c r="C235" s="13" t="s">
        <v>190</v>
      </c>
      <c r="D235" s="13" t="s">
        <v>536</v>
      </c>
      <c r="E235" s="37" t="b">
        <f t="shared" si="11"/>
        <v>1</v>
      </c>
      <c r="G235">
        <f t="shared" si="12"/>
        <v>0</v>
      </c>
    </row>
    <row r="236" spans="1:7" x14ac:dyDescent="0.35">
      <c r="A236" s="13" t="s">
        <v>534</v>
      </c>
      <c r="B236" s="13" t="s">
        <v>687</v>
      </c>
      <c r="C236" s="13" t="s">
        <v>186</v>
      </c>
      <c r="D236" s="13" t="s">
        <v>539</v>
      </c>
      <c r="E236" s="37" t="b">
        <f t="shared" si="11"/>
        <v>1</v>
      </c>
      <c r="G236">
        <f t="shared" si="12"/>
        <v>0</v>
      </c>
    </row>
    <row r="237" spans="1:7" x14ac:dyDescent="0.35">
      <c r="A237" s="13" t="s">
        <v>534</v>
      </c>
      <c r="B237" s="13" t="s">
        <v>687</v>
      </c>
      <c r="C237" s="13" t="s">
        <v>688</v>
      </c>
      <c r="D237" s="13" t="s">
        <v>600</v>
      </c>
      <c r="E237" s="37" t="b">
        <f t="shared" si="11"/>
        <v>1</v>
      </c>
      <c r="G237">
        <f t="shared" si="12"/>
        <v>0</v>
      </c>
    </row>
    <row r="238" spans="1:7" x14ac:dyDescent="0.35">
      <c r="A238" s="13" t="s">
        <v>534</v>
      </c>
      <c r="B238" s="13" t="s">
        <v>687</v>
      </c>
      <c r="C238" s="13" t="s">
        <v>188</v>
      </c>
      <c r="D238" s="13" t="s">
        <v>538</v>
      </c>
      <c r="E238" s="37" t="b">
        <f t="shared" si="11"/>
        <v>1</v>
      </c>
      <c r="G238">
        <f t="shared" si="12"/>
        <v>0</v>
      </c>
    </row>
    <row r="239" spans="1:7" x14ac:dyDescent="0.35">
      <c r="A239" s="13" t="s">
        <v>534</v>
      </c>
      <c r="B239" s="13" t="s">
        <v>689</v>
      </c>
      <c r="C239" s="13" t="s">
        <v>690</v>
      </c>
      <c r="D239" s="13" t="s">
        <v>691</v>
      </c>
      <c r="E239" s="37" t="b">
        <f t="shared" si="11"/>
        <v>1</v>
      </c>
      <c r="G239">
        <f t="shared" si="12"/>
        <v>0</v>
      </c>
    </row>
    <row r="240" spans="1:7" x14ac:dyDescent="0.35">
      <c r="A240" s="13" t="s">
        <v>534</v>
      </c>
      <c r="B240" s="13" t="s">
        <v>689</v>
      </c>
      <c r="C240" s="13" t="s">
        <v>597</v>
      </c>
      <c r="D240" s="13" t="s">
        <v>643</v>
      </c>
      <c r="E240" s="37" t="b">
        <f t="shared" si="11"/>
        <v>1</v>
      </c>
      <c r="G240">
        <f t="shared" si="12"/>
        <v>0</v>
      </c>
    </row>
    <row r="241" spans="1:7" x14ac:dyDescent="0.35">
      <c r="A241" s="13" t="s">
        <v>534</v>
      </c>
      <c r="B241" s="13" t="s">
        <v>689</v>
      </c>
      <c r="C241" s="13" t="s">
        <v>190</v>
      </c>
      <c r="D241" s="13" t="s">
        <v>536</v>
      </c>
      <c r="E241" s="37" t="b">
        <f t="shared" si="11"/>
        <v>1</v>
      </c>
      <c r="G241">
        <f t="shared" si="12"/>
        <v>0</v>
      </c>
    </row>
    <row r="242" spans="1:7" x14ac:dyDescent="0.35">
      <c r="A242" s="13" t="s">
        <v>534</v>
      </c>
      <c r="B242" s="13" t="s">
        <v>689</v>
      </c>
      <c r="C242" s="13" t="s">
        <v>692</v>
      </c>
      <c r="D242" s="13" t="s">
        <v>600</v>
      </c>
      <c r="E242" s="37" t="b">
        <f t="shared" si="11"/>
        <v>1</v>
      </c>
      <c r="G242">
        <f t="shared" si="12"/>
        <v>0</v>
      </c>
    </row>
    <row r="243" spans="1:7" x14ac:dyDescent="0.35">
      <c r="A243" s="13" t="s">
        <v>534</v>
      </c>
      <c r="B243" s="13" t="s">
        <v>689</v>
      </c>
      <c r="C243" s="13" t="s">
        <v>693</v>
      </c>
      <c r="D243" s="13" t="s">
        <v>694</v>
      </c>
      <c r="E243" s="37" t="b">
        <f t="shared" si="11"/>
        <v>1</v>
      </c>
      <c r="G243">
        <f t="shared" si="12"/>
        <v>0</v>
      </c>
    </row>
    <row r="244" spans="1:7" x14ac:dyDescent="0.35">
      <c r="A244" s="13" t="s">
        <v>534</v>
      </c>
      <c r="B244" s="13" t="s">
        <v>689</v>
      </c>
      <c r="C244" s="13" t="s">
        <v>695</v>
      </c>
      <c r="D244" s="13" t="s">
        <v>536</v>
      </c>
      <c r="E244" s="37" t="b">
        <f t="shared" si="11"/>
        <v>1</v>
      </c>
      <c r="G244">
        <f t="shared" si="12"/>
        <v>0</v>
      </c>
    </row>
    <row r="245" spans="1:7" x14ac:dyDescent="0.35">
      <c r="A245" s="13" t="s">
        <v>534</v>
      </c>
      <c r="B245" s="13" t="s">
        <v>689</v>
      </c>
      <c r="C245" s="13" t="s">
        <v>696</v>
      </c>
      <c r="D245" s="13" t="s">
        <v>536</v>
      </c>
      <c r="E245" s="37" t="b">
        <f t="shared" si="11"/>
        <v>1</v>
      </c>
      <c r="G245">
        <f t="shared" si="12"/>
        <v>0</v>
      </c>
    </row>
    <row r="246" spans="1:7" x14ac:dyDescent="0.35">
      <c r="A246" s="13" t="s">
        <v>534</v>
      </c>
      <c r="B246" s="13" t="s">
        <v>689</v>
      </c>
      <c r="C246" s="13" t="s">
        <v>697</v>
      </c>
      <c r="D246" s="13" t="s">
        <v>600</v>
      </c>
      <c r="E246" s="37" t="b">
        <f t="shared" si="11"/>
        <v>1</v>
      </c>
      <c r="G246">
        <f t="shared" si="12"/>
        <v>0</v>
      </c>
    </row>
    <row r="247" spans="1:7" x14ac:dyDescent="0.35">
      <c r="A247" s="13" t="s">
        <v>534</v>
      </c>
      <c r="B247" s="13" t="s">
        <v>689</v>
      </c>
      <c r="C247" s="13" t="s">
        <v>698</v>
      </c>
      <c r="D247" s="13" t="s">
        <v>600</v>
      </c>
      <c r="E247" s="37" t="b">
        <f t="shared" si="11"/>
        <v>1</v>
      </c>
      <c r="G247">
        <f t="shared" si="12"/>
        <v>0</v>
      </c>
    </row>
    <row r="248" spans="1:7" x14ac:dyDescent="0.35">
      <c r="A248" s="13" t="s">
        <v>534</v>
      </c>
      <c r="B248" s="13" t="s">
        <v>689</v>
      </c>
      <c r="C248" s="13" t="s">
        <v>699</v>
      </c>
      <c r="D248" s="13" t="s">
        <v>700</v>
      </c>
      <c r="E248" s="37" t="b">
        <f t="shared" si="11"/>
        <v>1</v>
      </c>
      <c r="G248">
        <f t="shared" si="12"/>
        <v>0</v>
      </c>
    </row>
    <row r="249" spans="1:7" x14ac:dyDescent="0.35">
      <c r="A249" s="13" t="s">
        <v>534</v>
      </c>
      <c r="B249" s="13" t="s">
        <v>689</v>
      </c>
      <c r="C249" s="13" t="s">
        <v>701</v>
      </c>
      <c r="D249" s="13" t="s">
        <v>700</v>
      </c>
      <c r="E249" s="37" t="b">
        <f t="shared" si="11"/>
        <v>1</v>
      </c>
      <c r="G249">
        <f t="shared" si="12"/>
        <v>0</v>
      </c>
    </row>
    <row r="250" spans="1:7" x14ac:dyDescent="0.35">
      <c r="A250" s="13" t="s">
        <v>534</v>
      </c>
      <c r="B250" s="13" t="s">
        <v>689</v>
      </c>
      <c r="C250" s="13" t="s">
        <v>702</v>
      </c>
      <c r="D250" s="13" t="s">
        <v>700</v>
      </c>
      <c r="E250" s="37" t="b">
        <f t="shared" si="11"/>
        <v>1</v>
      </c>
      <c r="G250">
        <f t="shared" si="12"/>
        <v>0</v>
      </c>
    </row>
    <row r="251" spans="1:7" x14ac:dyDescent="0.35">
      <c r="A251" s="13" t="s">
        <v>534</v>
      </c>
      <c r="B251" s="13" t="s">
        <v>689</v>
      </c>
      <c r="C251" s="13" t="s">
        <v>703</v>
      </c>
      <c r="D251" s="13" t="s">
        <v>700</v>
      </c>
      <c r="E251" s="37" t="b">
        <f t="shared" si="11"/>
        <v>1</v>
      </c>
      <c r="G251">
        <f t="shared" si="12"/>
        <v>0</v>
      </c>
    </row>
    <row r="252" spans="1:7" x14ac:dyDescent="0.35">
      <c r="A252" s="13" t="s">
        <v>534</v>
      </c>
      <c r="B252" s="13" t="s">
        <v>689</v>
      </c>
      <c r="C252" s="13" t="s">
        <v>704</v>
      </c>
      <c r="D252" s="13" t="s">
        <v>536</v>
      </c>
      <c r="E252" s="37" t="b">
        <f t="shared" si="11"/>
        <v>1</v>
      </c>
      <c r="G252">
        <f t="shared" si="12"/>
        <v>0</v>
      </c>
    </row>
    <row r="253" spans="1:7" x14ac:dyDescent="0.35">
      <c r="A253" s="13" t="s">
        <v>534</v>
      </c>
      <c r="B253" s="13" t="s">
        <v>689</v>
      </c>
      <c r="C253" s="13" t="s">
        <v>705</v>
      </c>
      <c r="D253" s="13" t="s">
        <v>668</v>
      </c>
      <c r="E253" s="37" t="b">
        <f t="shared" si="11"/>
        <v>1</v>
      </c>
      <c r="G253">
        <f t="shared" si="12"/>
        <v>0</v>
      </c>
    </row>
    <row r="254" spans="1:7" x14ac:dyDescent="0.35">
      <c r="A254" s="13" t="s">
        <v>534</v>
      </c>
      <c r="B254" s="13" t="s">
        <v>689</v>
      </c>
      <c r="C254" s="13" t="s">
        <v>706</v>
      </c>
      <c r="D254" s="13" t="s">
        <v>601</v>
      </c>
      <c r="E254" s="37" t="b">
        <f t="shared" si="11"/>
        <v>1</v>
      </c>
      <c r="G254">
        <f t="shared" si="12"/>
        <v>0</v>
      </c>
    </row>
    <row r="255" spans="1:7" x14ac:dyDescent="0.35">
      <c r="A255" s="13" t="s">
        <v>534</v>
      </c>
      <c r="B255" s="13" t="s">
        <v>689</v>
      </c>
      <c r="C255" s="13" t="s">
        <v>707</v>
      </c>
      <c r="D255" s="13" t="s">
        <v>601</v>
      </c>
      <c r="E255" s="37" t="b">
        <f t="shared" si="11"/>
        <v>1</v>
      </c>
      <c r="G255">
        <f t="shared" si="12"/>
        <v>0</v>
      </c>
    </row>
    <row r="256" spans="1:7" x14ac:dyDescent="0.35">
      <c r="A256" s="13" t="s">
        <v>534</v>
      </c>
      <c r="B256" s="13" t="s">
        <v>689</v>
      </c>
      <c r="C256" s="13" t="s">
        <v>485</v>
      </c>
      <c r="D256" s="13" t="s">
        <v>600</v>
      </c>
      <c r="E256" s="37" t="b">
        <f t="shared" si="11"/>
        <v>1</v>
      </c>
      <c r="G256">
        <f t="shared" si="12"/>
        <v>0</v>
      </c>
    </row>
    <row r="257" spans="1:7" x14ac:dyDescent="0.35">
      <c r="A257" s="13" t="s">
        <v>534</v>
      </c>
      <c r="B257" s="13" t="s">
        <v>689</v>
      </c>
      <c r="C257" s="13" t="s">
        <v>708</v>
      </c>
      <c r="D257" s="13" t="s">
        <v>601</v>
      </c>
      <c r="E257" s="37" t="b">
        <f t="shared" si="11"/>
        <v>1</v>
      </c>
      <c r="G257">
        <f t="shared" si="12"/>
        <v>0</v>
      </c>
    </row>
    <row r="258" spans="1:7" x14ac:dyDescent="0.35">
      <c r="A258" s="13" t="s">
        <v>534</v>
      </c>
      <c r="B258" s="13" t="s">
        <v>689</v>
      </c>
      <c r="C258" s="13" t="s">
        <v>186</v>
      </c>
      <c r="D258" s="13" t="s">
        <v>539</v>
      </c>
      <c r="E258" s="37" t="b">
        <f t="shared" si="11"/>
        <v>1</v>
      </c>
      <c r="G258">
        <f t="shared" si="12"/>
        <v>0</v>
      </c>
    </row>
    <row r="259" spans="1:7" x14ac:dyDescent="0.35">
      <c r="A259" s="13" t="s">
        <v>534</v>
      </c>
      <c r="B259" s="13" t="s">
        <v>689</v>
      </c>
      <c r="C259" s="13" t="s">
        <v>188</v>
      </c>
      <c r="D259" s="13" t="s">
        <v>538</v>
      </c>
      <c r="E259" s="37" t="b">
        <f t="shared" si="11"/>
        <v>1</v>
      </c>
      <c r="G259">
        <f t="shared" si="12"/>
        <v>0</v>
      </c>
    </row>
    <row r="260" spans="1:7" x14ac:dyDescent="0.35">
      <c r="A260" s="13" t="s">
        <v>534</v>
      </c>
      <c r="B260" s="13" t="s">
        <v>689</v>
      </c>
      <c r="C260" s="13" t="s">
        <v>709</v>
      </c>
      <c r="D260" s="13" t="s">
        <v>643</v>
      </c>
      <c r="E260" s="37" t="b">
        <f t="shared" si="11"/>
        <v>1</v>
      </c>
      <c r="G260">
        <f t="shared" si="12"/>
        <v>0</v>
      </c>
    </row>
    <row r="261" spans="1:7" x14ac:dyDescent="0.35">
      <c r="A261" s="13" t="s">
        <v>534</v>
      </c>
      <c r="B261" s="13" t="s">
        <v>710</v>
      </c>
      <c r="C261" s="13" t="s">
        <v>597</v>
      </c>
      <c r="D261" s="13" t="s">
        <v>643</v>
      </c>
      <c r="E261" s="37" t="b">
        <f t="shared" ref="E261:E324" si="13">EXACT(C261,UPPER(C261))</f>
        <v>1</v>
      </c>
      <c r="G261">
        <f t="shared" si="12"/>
        <v>0</v>
      </c>
    </row>
    <row r="262" spans="1:7" x14ac:dyDescent="0.35">
      <c r="A262" s="13" t="s">
        <v>534</v>
      </c>
      <c r="B262" s="13" t="s">
        <v>710</v>
      </c>
      <c r="C262" s="13" t="s">
        <v>190</v>
      </c>
      <c r="D262" s="13" t="s">
        <v>536</v>
      </c>
      <c r="E262" s="37" t="b">
        <f t="shared" si="13"/>
        <v>1</v>
      </c>
      <c r="G262">
        <f t="shared" si="12"/>
        <v>0</v>
      </c>
    </row>
    <row r="263" spans="1:7" x14ac:dyDescent="0.35">
      <c r="A263" s="13" t="s">
        <v>534</v>
      </c>
      <c r="B263" s="13" t="s">
        <v>710</v>
      </c>
      <c r="C263" s="13" t="s">
        <v>711</v>
      </c>
      <c r="D263" s="13" t="s">
        <v>712</v>
      </c>
      <c r="E263" s="37" t="b">
        <f t="shared" si="13"/>
        <v>1</v>
      </c>
      <c r="G263">
        <f t="shared" si="12"/>
        <v>0</v>
      </c>
    </row>
    <row r="264" spans="1:7" x14ac:dyDescent="0.35">
      <c r="A264" s="13" t="s">
        <v>534</v>
      </c>
      <c r="B264" s="13" t="s">
        <v>710</v>
      </c>
      <c r="C264" s="13" t="s">
        <v>713</v>
      </c>
      <c r="D264" s="13" t="s">
        <v>712</v>
      </c>
      <c r="E264" s="37" t="b">
        <f t="shared" si="13"/>
        <v>1</v>
      </c>
      <c r="G264">
        <f t="shared" si="12"/>
        <v>0</v>
      </c>
    </row>
    <row r="265" spans="1:7" x14ac:dyDescent="0.35">
      <c r="A265" s="13" t="s">
        <v>534</v>
      </c>
      <c r="B265" s="13" t="s">
        <v>710</v>
      </c>
      <c r="C265" s="13" t="s">
        <v>714</v>
      </c>
      <c r="D265" s="13" t="s">
        <v>712</v>
      </c>
      <c r="E265" s="37" t="b">
        <f t="shared" si="13"/>
        <v>1</v>
      </c>
      <c r="G265">
        <f t="shared" si="12"/>
        <v>0</v>
      </c>
    </row>
    <row r="266" spans="1:7" x14ac:dyDescent="0.35">
      <c r="A266" s="13" t="s">
        <v>534</v>
      </c>
      <c r="B266" s="13" t="s">
        <v>710</v>
      </c>
      <c r="C266" s="13" t="s">
        <v>715</v>
      </c>
      <c r="D266" s="13" t="s">
        <v>712</v>
      </c>
      <c r="E266" s="37" t="b">
        <f t="shared" si="13"/>
        <v>1</v>
      </c>
      <c r="G266">
        <f t="shared" si="12"/>
        <v>0</v>
      </c>
    </row>
    <row r="267" spans="1:7" x14ac:dyDescent="0.35">
      <c r="A267" s="13" t="s">
        <v>534</v>
      </c>
      <c r="B267" s="13" t="s">
        <v>710</v>
      </c>
      <c r="C267" s="13" t="s">
        <v>716</v>
      </c>
      <c r="D267" s="13" t="s">
        <v>712</v>
      </c>
      <c r="E267" s="37" t="b">
        <f t="shared" si="13"/>
        <v>1</v>
      </c>
      <c r="G267">
        <f t="shared" si="12"/>
        <v>0</v>
      </c>
    </row>
    <row r="268" spans="1:7" x14ac:dyDescent="0.35">
      <c r="A268" s="13" t="s">
        <v>534</v>
      </c>
      <c r="B268" s="13" t="s">
        <v>710</v>
      </c>
      <c r="C268" s="13" t="s">
        <v>717</v>
      </c>
      <c r="D268" s="13" t="s">
        <v>668</v>
      </c>
      <c r="E268" s="37" t="b">
        <f t="shared" si="13"/>
        <v>1</v>
      </c>
      <c r="G268">
        <f t="shared" si="12"/>
        <v>0</v>
      </c>
    </row>
    <row r="269" spans="1:7" x14ac:dyDescent="0.35">
      <c r="A269" s="13" t="s">
        <v>534</v>
      </c>
      <c r="B269" s="13" t="s">
        <v>710</v>
      </c>
      <c r="C269" s="13" t="s">
        <v>718</v>
      </c>
      <c r="D269" s="13" t="s">
        <v>601</v>
      </c>
      <c r="E269" s="37" t="b">
        <f t="shared" si="13"/>
        <v>1</v>
      </c>
      <c r="G269">
        <f t="shared" si="12"/>
        <v>0</v>
      </c>
    </row>
    <row r="270" spans="1:7" x14ac:dyDescent="0.35">
      <c r="A270" s="13" t="s">
        <v>534</v>
      </c>
      <c r="B270" s="13" t="s">
        <v>710</v>
      </c>
      <c r="C270" s="13" t="s">
        <v>719</v>
      </c>
      <c r="D270" s="13" t="s">
        <v>712</v>
      </c>
      <c r="E270" s="37" t="b">
        <f t="shared" si="13"/>
        <v>1</v>
      </c>
      <c r="G270">
        <f t="shared" si="12"/>
        <v>0</v>
      </c>
    </row>
    <row r="271" spans="1:7" x14ac:dyDescent="0.35">
      <c r="A271" s="13" t="s">
        <v>534</v>
      </c>
      <c r="B271" s="13" t="s">
        <v>710</v>
      </c>
      <c r="C271" s="13" t="s">
        <v>720</v>
      </c>
      <c r="D271" s="13" t="s">
        <v>712</v>
      </c>
      <c r="E271" s="37" t="b">
        <f t="shared" si="13"/>
        <v>1</v>
      </c>
      <c r="G271">
        <f t="shared" si="12"/>
        <v>0</v>
      </c>
    </row>
    <row r="272" spans="1:7" x14ac:dyDescent="0.35">
      <c r="A272" s="13" t="s">
        <v>534</v>
      </c>
      <c r="B272" s="13" t="s">
        <v>710</v>
      </c>
      <c r="C272" s="13" t="s">
        <v>721</v>
      </c>
      <c r="D272" s="13" t="s">
        <v>712</v>
      </c>
      <c r="E272" s="37" t="b">
        <f t="shared" si="13"/>
        <v>1</v>
      </c>
      <c r="G272">
        <f t="shared" si="12"/>
        <v>0</v>
      </c>
    </row>
    <row r="273" spans="1:7" x14ac:dyDescent="0.35">
      <c r="A273" s="13" t="s">
        <v>534</v>
      </c>
      <c r="B273" s="13" t="s">
        <v>710</v>
      </c>
      <c r="C273" s="13" t="s">
        <v>488</v>
      </c>
      <c r="D273" s="13" t="s">
        <v>712</v>
      </c>
      <c r="E273" s="37" t="b">
        <f t="shared" si="13"/>
        <v>1</v>
      </c>
      <c r="G273">
        <f t="shared" si="12"/>
        <v>0</v>
      </c>
    </row>
    <row r="274" spans="1:7" x14ac:dyDescent="0.35">
      <c r="A274" s="13" t="s">
        <v>534</v>
      </c>
      <c r="B274" s="13" t="s">
        <v>710</v>
      </c>
      <c r="C274" s="13" t="s">
        <v>722</v>
      </c>
      <c r="D274" s="13" t="s">
        <v>712</v>
      </c>
      <c r="E274" s="37" t="b">
        <f t="shared" si="13"/>
        <v>1</v>
      </c>
      <c r="G274">
        <f t="shared" si="12"/>
        <v>0</v>
      </c>
    </row>
    <row r="275" spans="1:7" x14ac:dyDescent="0.35">
      <c r="A275" s="13" t="s">
        <v>534</v>
      </c>
      <c r="B275" s="13" t="s">
        <v>710</v>
      </c>
      <c r="C275" s="13" t="s">
        <v>186</v>
      </c>
      <c r="D275" s="13" t="s">
        <v>539</v>
      </c>
      <c r="E275" s="37" t="b">
        <f t="shared" si="13"/>
        <v>1</v>
      </c>
      <c r="G275">
        <f t="shared" si="12"/>
        <v>0</v>
      </c>
    </row>
    <row r="276" spans="1:7" x14ac:dyDescent="0.35">
      <c r="A276" s="13" t="s">
        <v>534</v>
      </c>
      <c r="B276" s="13" t="s">
        <v>710</v>
      </c>
      <c r="C276" s="13" t="s">
        <v>188</v>
      </c>
      <c r="D276" s="13" t="s">
        <v>538</v>
      </c>
      <c r="E276" s="37" t="b">
        <f t="shared" si="13"/>
        <v>1</v>
      </c>
      <c r="G276">
        <f t="shared" ref="G276:G339" si="14">COUNTIF(C:C,F276)</f>
        <v>0</v>
      </c>
    </row>
    <row r="277" spans="1:7" x14ac:dyDescent="0.35">
      <c r="A277" s="13" t="s">
        <v>534</v>
      </c>
      <c r="B277" s="13" t="s">
        <v>723</v>
      </c>
      <c r="C277" s="13" t="s">
        <v>724</v>
      </c>
      <c r="D277" s="13" t="s">
        <v>576</v>
      </c>
      <c r="E277" s="37" t="b">
        <f t="shared" si="13"/>
        <v>1</v>
      </c>
      <c r="G277">
        <f t="shared" si="14"/>
        <v>0</v>
      </c>
    </row>
    <row r="278" spans="1:7" x14ac:dyDescent="0.35">
      <c r="A278" s="13" t="s">
        <v>534</v>
      </c>
      <c r="B278" s="13" t="s">
        <v>723</v>
      </c>
      <c r="C278" s="13" t="s">
        <v>725</v>
      </c>
      <c r="D278" s="13" t="s">
        <v>554</v>
      </c>
      <c r="E278" s="37" t="b">
        <f t="shared" si="13"/>
        <v>1</v>
      </c>
      <c r="G278">
        <f t="shared" si="14"/>
        <v>0</v>
      </c>
    </row>
    <row r="279" spans="1:7" x14ac:dyDescent="0.35">
      <c r="A279" s="13" t="s">
        <v>534</v>
      </c>
      <c r="B279" s="13" t="s">
        <v>723</v>
      </c>
      <c r="C279" s="13" t="s">
        <v>726</v>
      </c>
      <c r="D279" s="13" t="s">
        <v>593</v>
      </c>
      <c r="E279" s="37" t="b">
        <f t="shared" si="13"/>
        <v>1</v>
      </c>
      <c r="G279">
        <f t="shared" si="14"/>
        <v>0</v>
      </c>
    </row>
    <row r="280" spans="1:7" x14ac:dyDescent="0.35">
      <c r="A280" s="13" t="s">
        <v>534</v>
      </c>
      <c r="B280" s="13" t="s">
        <v>723</v>
      </c>
      <c r="C280" s="36" t="s">
        <v>508</v>
      </c>
      <c r="D280" s="13" t="s">
        <v>539</v>
      </c>
      <c r="E280" s="37" t="b">
        <f t="shared" si="13"/>
        <v>0</v>
      </c>
      <c r="G280">
        <f t="shared" si="14"/>
        <v>0</v>
      </c>
    </row>
    <row r="281" spans="1:7" x14ac:dyDescent="0.35">
      <c r="A281" s="13" t="s">
        <v>534</v>
      </c>
      <c r="B281" s="13" t="s">
        <v>723</v>
      </c>
      <c r="C281" s="13" t="s">
        <v>727</v>
      </c>
      <c r="D281" s="13" t="s">
        <v>576</v>
      </c>
      <c r="E281" s="37" t="b">
        <f t="shared" si="13"/>
        <v>1</v>
      </c>
      <c r="G281">
        <f t="shared" si="14"/>
        <v>0</v>
      </c>
    </row>
    <row r="282" spans="1:7" x14ac:dyDescent="0.35">
      <c r="A282" s="13" t="s">
        <v>534</v>
      </c>
      <c r="B282" s="13" t="s">
        <v>723</v>
      </c>
      <c r="C282" s="13" t="s">
        <v>728</v>
      </c>
      <c r="D282" s="13" t="s">
        <v>576</v>
      </c>
      <c r="E282" s="37" t="b">
        <f t="shared" si="13"/>
        <v>1</v>
      </c>
      <c r="G282">
        <f t="shared" si="14"/>
        <v>0</v>
      </c>
    </row>
    <row r="283" spans="1:7" x14ac:dyDescent="0.35">
      <c r="A283" s="13" t="s">
        <v>534</v>
      </c>
      <c r="B283" s="13" t="s">
        <v>723</v>
      </c>
      <c r="C283" s="36" t="s">
        <v>517</v>
      </c>
      <c r="D283" s="13" t="s">
        <v>539</v>
      </c>
      <c r="E283" s="37" t="b">
        <f t="shared" si="13"/>
        <v>0</v>
      </c>
      <c r="G283">
        <f t="shared" si="14"/>
        <v>0</v>
      </c>
    </row>
    <row r="284" spans="1:7" x14ac:dyDescent="0.35">
      <c r="A284" s="13" t="s">
        <v>534</v>
      </c>
      <c r="B284" s="13" t="s">
        <v>723</v>
      </c>
      <c r="C284" s="13" t="s">
        <v>190</v>
      </c>
      <c r="D284" s="13" t="s">
        <v>536</v>
      </c>
      <c r="E284" s="37" t="b">
        <f t="shared" si="13"/>
        <v>1</v>
      </c>
      <c r="G284">
        <f t="shared" si="14"/>
        <v>0</v>
      </c>
    </row>
    <row r="285" spans="1:7" x14ac:dyDescent="0.35">
      <c r="A285" s="13" t="s">
        <v>534</v>
      </c>
      <c r="B285" s="13" t="s">
        <v>723</v>
      </c>
      <c r="C285" s="13" t="s">
        <v>186</v>
      </c>
      <c r="D285" s="13" t="s">
        <v>539</v>
      </c>
      <c r="E285" s="37" t="b">
        <f t="shared" si="13"/>
        <v>1</v>
      </c>
      <c r="G285">
        <f t="shared" si="14"/>
        <v>0</v>
      </c>
    </row>
    <row r="286" spans="1:7" x14ac:dyDescent="0.35">
      <c r="A286" s="13" t="s">
        <v>534</v>
      </c>
      <c r="B286" s="13" t="s">
        <v>723</v>
      </c>
      <c r="C286" s="13" t="s">
        <v>188</v>
      </c>
      <c r="D286" s="13" t="s">
        <v>538</v>
      </c>
      <c r="E286" s="37" t="b">
        <f t="shared" si="13"/>
        <v>1</v>
      </c>
      <c r="G286">
        <f t="shared" si="14"/>
        <v>0</v>
      </c>
    </row>
    <row r="287" spans="1:7" x14ac:dyDescent="0.35">
      <c r="A287" s="13" t="s">
        <v>534</v>
      </c>
      <c r="B287" s="13" t="s">
        <v>723</v>
      </c>
      <c r="C287" s="13" t="s">
        <v>729</v>
      </c>
      <c r="D287" s="13" t="s">
        <v>593</v>
      </c>
      <c r="E287" s="37" t="b">
        <f t="shared" si="13"/>
        <v>1</v>
      </c>
      <c r="G287">
        <f t="shared" si="14"/>
        <v>0</v>
      </c>
    </row>
    <row r="288" spans="1:7" x14ac:dyDescent="0.35">
      <c r="A288" s="13" t="s">
        <v>534</v>
      </c>
      <c r="B288" s="13" t="s">
        <v>723</v>
      </c>
      <c r="C288" s="13" t="s">
        <v>730</v>
      </c>
      <c r="D288" s="13" t="s">
        <v>538</v>
      </c>
      <c r="E288" s="37" t="b">
        <f t="shared" si="13"/>
        <v>1</v>
      </c>
      <c r="G288">
        <f t="shared" si="14"/>
        <v>0</v>
      </c>
    </row>
    <row r="289" spans="1:7" x14ac:dyDescent="0.35">
      <c r="A289" s="13" t="s">
        <v>534</v>
      </c>
      <c r="B289" s="13" t="s">
        <v>723</v>
      </c>
      <c r="C289" s="13" t="s">
        <v>207</v>
      </c>
      <c r="D289" s="13" t="s">
        <v>536</v>
      </c>
      <c r="E289" s="37" t="b">
        <f t="shared" si="13"/>
        <v>1</v>
      </c>
      <c r="G289">
        <f t="shared" si="14"/>
        <v>0</v>
      </c>
    </row>
    <row r="290" spans="1:7" x14ac:dyDescent="0.35">
      <c r="A290" s="13" t="s">
        <v>534</v>
      </c>
      <c r="B290" s="13" t="s">
        <v>723</v>
      </c>
      <c r="C290" s="13" t="s">
        <v>731</v>
      </c>
      <c r="D290" s="13" t="s">
        <v>580</v>
      </c>
      <c r="E290" s="37" t="b">
        <f t="shared" si="13"/>
        <v>1</v>
      </c>
      <c r="G290">
        <f t="shared" si="14"/>
        <v>0</v>
      </c>
    </row>
    <row r="291" spans="1:7" x14ac:dyDescent="0.35">
      <c r="A291" s="13" t="s">
        <v>534</v>
      </c>
      <c r="B291" s="13" t="s">
        <v>723</v>
      </c>
      <c r="C291" s="13" t="s">
        <v>224</v>
      </c>
      <c r="D291" s="13" t="s">
        <v>539</v>
      </c>
      <c r="E291" s="37" t="b">
        <f t="shared" si="13"/>
        <v>1</v>
      </c>
      <c r="G291">
        <f t="shared" si="14"/>
        <v>0</v>
      </c>
    </row>
    <row r="292" spans="1:7" x14ac:dyDescent="0.35">
      <c r="A292" s="13" t="s">
        <v>534</v>
      </c>
      <c r="B292" s="13" t="s">
        <v>723</v>
      </c>
      <c r="C292" s="13" t="s">
        <v>211</v>
      </c>
      <c r="D292" s="13" t="s">
        <v>554</v>
      </c>
      <c r="E292" s="37" t="b">
        <f t="shared" si="13"/>
        <v>1</v>
      </c>
      <c r="G292">
        <f t="shared" si="14"/>
        <v>0</v>
      </c>
    </row>
    <row r="293" spans="1:7" x14ac:dyDescent="0.35">
      <c r="A293" s="13" t="s">
        <v>534</v>
      </c>
      <c r="B293" s="13" t="s">
        <v>723</v>
      </c>
      <c r="C293" s="13" t="s">
        <v>219</v>
      </c>
      <c r="D293" s="13" t="s">
        <v>600</v>
      </c>
      <c r="E293" s="37" t="b">
        <f t="shared" si="13"/>
        <v>1</v>
      </c>
      <c r="G293">
        <f t="shared" si="14"/>
        <v>0</v>
      </c>
    </row>
    <row r="294" spans="1:7" x14ac:dyDescent="0.35">
      <c r="A294" s="13" t="s">
        <v>534</v>
      </c>
      <c r="B294" s="13" t="s">
        <v>723</v>
      </c>
      <c r="C294" s="13" t="s">
        <v>216</v>
      </c>
      <c r="D294" s="13" t="s">
        <v>600</v>
      </c>
      <c r="E294" s="37" t="b">
        <f t="shared" si="13"/>
        <v>1</v>
      </c>
      <c r="G294">
        <f t="shared" si="14"/>
        <v>0</v>
      </c>
    </row>
    <row r="295" spans="1:7" x14ac:dyDescent="0.35">
      <c r="A295" s="13" t="s">
        <v>534</v>
      </c>
      <c r="B295" s="13" t="s">
        <v>723</v>
      </c>
      <c r="C295" s="13" t="s">
        <v>203</v>
      </c>
      <c r="D295" s="13" t="s">
        <v>539</v>
      </c>
      <c r="E295" s="37" t="b">
        <f t="shared" si="13"/>
        <v>1</v>
      </c>
      <c r="G295">
        <f t="shared" si="14"/>
        <v>0</v>
      </c>
    </row>
    <row r="296" spans="1:7" x14ac:dyDescent="0.35">
      <c r="A296" s="13" t="s">
        <v>534</v>
      </c>
      <c r="B296" s="13" t="s">
        <v>723</v>
      </c>
      <c r="C296" s="13" t="s">
        <v>234</v>
      </c>
      <c r="D296" s="13" t="s">
        <v>666</v>
      </c>
      <c r="E296" s="37" t="b">
        <f t="shared" si="13"/>
        <v>1</v>
      </c>
      <c r="G296">
        <f t="shared" si="14"/>
        <v>0</v>
      </c>
    </row>
    <row r="297" spans="1:7" x14ac:dyDescent="0.35">
      <c r="A297" s="13" t="s">
        <v>534</v>
      </c>
      <c r="B297" s="13" t="s">
        <v>723</v>
      </c>
      <c r="C297" s="13" t="s">
        <v>732</v>
      </c>
      <c r="D297" s="13" t="s">
        <v>733</v>
      </c>
      <c r="E297" s="37" t="b">
        <f t="shared" si="13"/>
        <v>1</v>
      </c>
      <c r="G297">
        <f t="shared" si="14"/>
        <v>0</v>
      </c>
    </row>
    <row r="298" spans="1:7" x14ac:dyDescent="0.35">
      <c r="A298" s="13" t="s">
        <v>534</v>
      </c>
      <c r="B298" s="13" t="s">
        <v>723</v>
      </c>
      <c r="C298" s="13" t="s">
        <v>209</v>
      </c>
      <c r="D298" s="13" t="s">
        <v>554</v>
      </c>
      <c r="E298" s="37" t="b">
        <f t="shared" si="13"/>
        <v>1</v>
      </c>
      <c r="G298">
        <f t="shared" si="14"/>
        <v>0</v>
      </c>
    </row>
    <row r="299" spans="1:7" x14ac:dyDescent="0.35">
      <c r="A299" s="13" t="s">
        <v>534</v>
      </c>
      <c r="B299" s="13" t="s">
        <v>723</v>
      </c>
      <c r="C299" s="13" t="s">
        <v>205</v>
      </c>
      <c r="D299" s="13" t="s">
        <v>538</v>
      </c>
      <c r="E299" s="37" t="b">
        <f t="shared" si="13"/>
        <v>1</v>
      </c>
      <c r="G299">
        <f t="shared" si="14"/>
        <v>0</v>
      </c>
    </row>
    <row r="300" spans="1:7" x14ac:dyDescent="0.35">
      <c r="A300" s="13" t="s">
        <v>534</v>
      </c>
      <c r="B300" s="13" t="s">
        <v>723</v>
      </c>
      <c r="C300" s="13" t="s">
        <v>228</v>
      </c>
      <c r="D300" s="13" t="s">
        <v>538</v>
      </c>
      <c r="E300" s="37" t="b">
        <f t="shared" si="13"/>
        <v>1</v>
      </c>
      <c r="G300">
        <f t="shared" si="14"/>
        <v>0</v>
      </c>
    </row>
    <row r="301" spans="1:7" x14ac:dyDescent="0.35">
      <c r="A301" s="13" t="s">
        <v>534</v>
      </c>
      <c r="B301" s="13" t="s">
        <v>723</v>
      </c>
      <c r="C301" s="13" t="s">
        <v>734</v>
      </c>
      <c r="D301" s="13" t="s">
        <v>616</v>
      </c>
      <c r="E301" s="37" t="b">
        <f t="shared" si="13"/>
        <v>1</v>
      </c>
      <c r="G301">
        <f t="shared" si="14"/>
        <v>0</v>
      </c>
    </row>
    <row r="302" spans="1:7" x14ac:dyDescent="0.35">
      <c r="A302" s="13" t="s">
        <v>534</v>
      </c>
      <c r="B302" s="13" t="s">
        <v>723</v>
      </c>
      <c r="C302" s="13" t="s">
        <v>735</v>
      </c>
      <c r="D302" s="13" t="s">
        <v>593</v>
      </c>
      <c r="E302" s="37" t="b">
        <f t="shared" si="13"/>
        <v>1</v>
      </c>
      <c r="G302">
        <f t="shared" si="14"/>
        <v>0</v>
      </c>
    </row>
    <row r="303" spans="1:7" x14ac:dyDescent="0.35">
      <c r="A303" s="13" t="s">
        <v>534</v>
      </c>
      <c r="B303" s="13" t="s">
        <v>736</v>
      </c>
      <c r="C303" s="13" t="s">
        <v>724</v>
      </c>
      <c r="D303" s="13" t="s">
        <v>576</v>
      </c>
      <c r="E303" s="37" t="b">
        <f t="shared" si="13"/>
        <v>1</v>
      </c>
      <c r="G303">
        <f t="shared" si="14"/>
        <v>0</v>
      </c>
    </row>
    <row r="304" spans="1:7" x14ac:dyDescent="0.35">
      <c r="A304" s="13" t="s">
        <v>534</v>
      </c>
      <c r="B304" s="13" t="s">
        <v>736</v>
      </c>
      <c r="C304" s="36" t="s">
        <v>508</v>
      </c>
      <c r="D304" s="13" t="s">
        <v>539</v>
      </c>
      <c r="E304" s="37" t="b">
        <f t="shared" si="13"/>
        <v>0</v>
      </c>
      <c r="G304">
        <f t="shared" si="14"/>
        <v>0</v>
      </c>
    </row>
    <row r="305" spans="1:7" x14ac:dyDescent="0.35">
      <c r="A305" s="13" t="s">
        <v>534</v>
      </c>
      <c r="B305" s="13" t="s">
        <v>736</v>
      </c>
      <c r="C305" s="13" t="s">
        <v>727</v>
      </c>
      <c r="D305" s="13" t="s">
        <v>576</v>
      </c>
      <c r="E305" s="37" t="b">
        <f t="shared" si="13"/>
        <v>1</v>
      </c>
      <c r="G305">
        <f t="shared" si="14"/>
        <v>0</v>
      </c>
    </row>
    <row r="306" spans="1:7" x14ac:dyDescent="0.35">
      <c r="A306" s="13" t="s">
        <v>534</v>
      </c>
      <c r="B306" s="13" t="s">
        <v>736</v>
      </c>
      <c r="C306" s="13" t="s">
        <v>728</v>
      </c>
      <c r="D306" s="13" t="s">
        <v>576</v>
      </c>
      <c r="E306" s="37" t="b">
        <f t="shared" si="13"/>
        <v>1</v>
      </c>
      <c r="G306">
        <f t="shared" si="14"/>
        <v>0</v>
      </c>
    </row>
    <row r="307" spans="1:7" x14ac:dyDescent="0.35">
      <c r="A307" s="13" t="s">
        <v>534</v>
      </c>
      <c r="B307" s="13" t="s">
        <v>736</v>
      </c>
      <c r="C307" s="13" t="s">
        <v>737</v>
      </c>
      <c r="D307" s="13" t="s">
        <v>569</v>
      </c>
      <c r="E307" s="37" t="b">
        <f t="shared" si="13"/>
        <v>1</v>
      </c>
      <c r="G307">
        <f t="shared" si="14"/>
        <v>0</v>
      </c>
    </row>
    <row r="308" spans="1:7" x14ac:dyDescent="0.35">
      <c r="A308" s="13" t="s">
        <v>534</v>
      </c>
      <c r="B308" s="13" t="s">
        <v>736</v>
      </c>
      <c r="C308" s="36" t="s">
        <v>517</v>
      </c>
      <c r="D308" s="13" t="s">
        <v>539</v>
      </c>
      <c r="E308" s="37" t="b">
        <f t="shared" si="13"/>
        <v>0</v>
      </c>
      <c r="G308">
        <f t="shared" si="14"/>
        <v>0</v>
      </c>
    </row>
    <row r="309" spans="1:7" x14ac:dyDescent="0.35">
      <c r="A309" s="13" t="s">
        <v>534</v>
      </c>
      <c r="B309" s="13" t="s">
        <v>736</v>
      </c>
      <c r="C309" s="36" t="s">
        <v>738</v>
      </c>
      <c r="D309" s="13" t="s">
        <v>539</v>
      </c>
      <c r="E309" s="37" t="b">
        <f t="shared" si="13"/>
        <v>0</v>
      </c>
      <c r="G309">
        <f t="shared" si="14"/>
        <v>0</v>
      </c>
    </row>
    <row r="310" spans="1:7" x14ac:dyDescent="0.35">
      <c r="A310" s="13" t="s">
        <v>534</v>
      </c>
      <c r="B310" s="13" t="s">
        <v>736</v>
      </c>
      <c r="C310" s="13" t="s">
        <v>249</v>
      </c>
      <c r="D310" s="13" t="s">
        <v>616</v>
      </c>
      <c r="E310" s="37" t="b">
        <f t="shared" si="13"/>
        <v>1</v>
      </c>
      <c r="G310">
        <f t="shared" si="14"/>
        <v>0</v>
      </c>
    </row>
    <row r="311" spans="1:7" x14ac:dyDescent="0.35">
      <c r="A311" s="13" t="s">
        <v>534</v>
      </c>
      <c r="B311" s="13" t="s">
        <v>736</v>
      </c>
      <c r="C311" s="13" t="s">
        <v>207</v>
      </c>
      <c r="D311" s="13" t="s">
        <v>536</v>
      </c>
      <c r="E311" s="37" t="b">
        <f t="shared" si="13"/>
        <v>1</v>
      </c>
      <c r="G311">
        <f t="shared" si="14"/>
        <v>0</v>
      </c>
    </row>
    <row r="312" spans="1:7" x14ac:dyDescent="0.35">
      <c r="A312" s="13" t="s">
        <v>534</v>
      </c>
      <c r="B312" s="13" t="s">
        <v>736</v>
      </c>
      <c r="C312" s="13" t="s">
        <v>203</v>
      </c>
      <c r="D312" s="13" t="s">
        <v>539</v>
      </c>
      <c r="E312" s="37" t="b">
        <f t="shared" si="13"/>
        <v>1</v>
      </c>
      <c r="G312">
        <f t="shared" si="14"/>
        <v>0</v>
      </c>
    </row>
    <row r="313" spans="1:7" x14ac:dyDescent="0.35">
      <c r="A313" s="13" t="s">
        <v>534</v>
      </c>
      <c r="B313" s="13" t="s">
        <v>736</v>
      </c>
      <c r="C313" s="13" t="s">
        <v>205</v>
      </c>
      <c r="D313" s="13" t="s">
        <v>538</v>
      </c>
      <c r="E313" s="37" t="b">
        <f t="shared" si="13"/>
        <v>1</v>
      </c>
      <c r="G313">
        <f t="shared" si="14"/>
        <v>0</v>
      </c>
    </row>
    <row r="314" spans="1:7" x14ac:dyDescent="0.35">
      <c r="A314" s="13" t="s">
        <v>534</v>
      </c>
      <c r="B314" s="13" t="s">
        <v>736</v>
      </c>
      <c r="C314" s="13" t="s">
        <v>734</v>
      </c>
      <c r="D314" s="13" t="s">
        <v>616</v>
      </c>
      <c r="E314" s="37" t="b">
        <f t="shared" si="13"/>
        <v>1</v>
      </c>
      <c r="G314">
        <f t="shared" si="14"/>
        <v>0</v>
      </c>
    </row>
    <row r="315" spans="1:7" x14ac:dyDescent="0.35">
      <c r="A315" s="13" t="s">
        <v>534</v>
      </c>
      <c r="B315" s="13" t="s">
        <v>736</v>
      </c>
      <c r="C315" s="13" t="s">
        <v>739</v>
      </c>
      <c r="D315" s="13" t="s">
        <v>538</v>
      </c>
      <c r="E315" s="37" t="b">
        <f t="shared" si="13"/>
        <v>1</v>
      </c>
      <c r="G315">
        <f t="shared" si="14"/>
        <v>0</v>
      </c>
    </row>
    <row r="316" spans="1:7" x14ac:dyDescent="0.35">
      <c r="A316" s="13" t="s">
        <v>534</v>
      </c>
      <c r="B316" s="13" t="s">
        <v>736</v>
      </c>
      <c r="C316" s="13" t="s">
        <v>241</v>
      </c>
      <c r="D316" s="13" t="s">
        <v>536</v>
      </c>
      <c r="E316" s="37" t="b">
        <f t="shared" si="13"/>
        <v>1</v>
      </c>
      <c r="G316">
        <f t="shared" si="14"/>
        <v>0</v>
      </c>
    </row>
    <row r="317" spans="1:7" x14ac:dyDescent="0.35">
      <c r="A317" s="13" t="s">
        <v>534</v>
      </c>
      <c r="B317" s="13" t="s">
        <v>736</v>
      </c>
      <c r="C317" s="13" t="s">
        <v>740</v>
      </c>
      <c r="D317" s="13" t="s">
        <v>580</v>
      </c>
      <c r="E317" s="37" t="b">
        <f t="shared" si="13"/>
        <v>1</v>
      </c>
      <c r="G317">
        <f t="shared" si="14"/>
        <v>0</v>
      </c>
    </row>
    <row r="318" spans="1:7" x14ac:dyDescent="0.35">
      <c r="A318" s="13" t="s">
        <v>534</v>
      </c>
      <c r="B318" s="13" t="s">
        <v>736</v>
      </c>
      <c r="C318" s="13" t="s">
        <v>267</v>
      </c>
      <c r="D318" s="13" t="s">
        <v>538</v>
      </c>
      <c r="E318" s="37" t="b">
        <f t="shared" si="13"/>
        <v>1</v>
      </c>
      <c r="G318">
        <f t="shared" si="14"/>
        <v>0</v>
      </c>
    </row>
    <row r="319" spans="1:7" x14ac:dyDescent="0.35">
      <c r="A319" s="13" t="s">
        <v>534</v>
      </c>
      <c r="B319" s="13" t="s">
        <v>736</v>
      </c>
      <c r="C319" s="13" t="s">
        <v>263</v>
      </c>
      <c r="D319" s="13" t="s">
        <v>539</v>
      </c>
      <c r="E319" s="37" t="b">
        <f t="shared" si="13"/>
        <v>1</v>
      </c>
      <c r="G319">
        <f t="shared" si="14"/>
        <v>0</v>
      </c>
    </row>
    <row r="320" spans="1:7" x14ac:dyDescent="0.35">
      <c r="A320" s="13" t="s">
        <v>534</v>
      </c>
      <c r="B320" s="13" t="s">
        <v>736</v>
      </c>
      <c r="C320" s="13" t="s">
        <v>245</v>
      </c>
      <c r="D320" s="13" t="s">
        <v>554</v>
      </c>
      <c r="E320" s="37" t="b">
        <f t="shared" si="13"/>
        <v>1</v>
      </c>
      <c r="G320">
        <f t="shared" si="14"/>
        <v>0</v>
      </c>
    </row>
    <row r="321" spans="1:7" x14ac:dyDescent="0.35">
      <c r="A321" s="13" t="s">
        <v>534</v>
      </c>
      <c r="B321" s="13" t="s">
        <v>736</v>
      </c>
      <c r="C321" s="13" t="s">
        <v>237</v>
      </c>
      <c r="D321" s="13" t="s">
        <v>539</v>
      </c>
      <c r="E321" s="37" t="b">
        <f t="shared" si="13"/>
        <v>1</v>
      </c>
      <c r="G321">
        <f t="shared" si="14"/>
        <v>0</v>
      </c>
    </row>
    <row r="322" spans="1:7" x14ac:dyDescent="0.35">
      <c r="A322" s="13" t="s">
        <v>534</v>
      </c>
      <c r="B322" s="13" t="s">
        <v>736</v>
      </c>
      <c r="C322" s="13" t="s">
        <v>251</v>
      </c>
      <c r="D322" s="13" t="s">
        <v>741</v>
      </c>
      <c r="E322" s="37" t="b">
        <f t="shared" si="13"/>
        <v>1</v>
      </c>
      <c r="G322">
        <f t="shared" si="14"/>
        <v>0</v>
      </c>
    </row>
    <row r="323" spans="1:7" x14ac:dyDescent="0.35">
      <c r="A323" s="13" t="s">
        <v>534</v>
      </c>
      <c r="B323" s="13" t="s">
        <v>736</v>
      </c>
      <c r="C323" s="13" t="s">
        <v>742</v>
      </c>
      <c r="D323" s="13" t="s">
        <v>733</v>
      </c>
      <c r="E323" s="37" t="b">
        <f t="shared" si="13"/>
        <v>1</v>
      </c>
      <c r="G323">
        <f t="shared" si="14"/>
        <v>0</v>
      </c>
    </row>
    <row r="324" spans="1:7" x14ac:dyDescent="0.35">
      <c r="A324" s="13" t="s">
        <v>534</v>
      </c>
      <c r="B324" s="13" t="s">
        <v>736</v>
      </c>
      <c r="C324" s="13" t="s">
        <v>743</v>
      </c>
      <c r="D324" s="13" t="s">
        <v>600</v>
      </c>
      <c r="E324" s="37" t="b">
        <f t="shared" si="13"/>
        <v>1</v>
      </c>
      <c r="G324">
        <f t="shared" si="14"/>
        <v>0</v>
      </c>
    </row>
    <row r="325" spans="1:7" x14ac:dyDescent="0.35">
      <c r="A325" s="13" t="s">
        <v>534</v>
      </c>
      <c r="B325" s="13" t="s">
        <v>736</v>
      </c>
      <c r="C325" s="13" t="s">
        <v>247</v>
      </c>
      <c r="D325" s="13" t="s">
        <v>554</v>
      </c>
      <c r="E325" s="37" t="b">
        <f t="shared" ref="E325:E354" si="15">EXACT(C325,UPPER(C325))</f>
        <v>1</v>
      </c>
      <c r="G325">
        <f t="shared" si="14"/>
        <v>0</v>
      </c>
    </row>
    <row r="326" spans="1:7" x14ac:dyDescent="0.35">
      <c r="A326" s="13" t="s">
        <v>534</v>
      </c>
      <c r="B326" s="13" t="s">
        <v>736</v>
      </c>
      <c r="C326" s="13" t="s">
        <v>243</v>
      </c>
      <c r="D326" s="13" t="s">
        <v>600</v>
      </c>
      <c r="E326" s="37" t="b">
        <f t="shared" si="15"/>
        <v>1</v>
      </c>
      <c r="G326">
        <f t="shared" si="14"/>
        <v>0</v>
      </c>
    </row>
    <row r="327" spans="1:7" x14ac:dyDescent="0.35">
      <c r="A327" s="13" t="s">
        <v>534</v>
      </c>
      <c r="B327" s="13" t="s">
        <v>736</v>
      </c>
      <c r="C327" s="13" t="s">
        <v>264</v>
      </c>
      <c r="D327" s="13" t="s">
        <v>600</v>
      </c>
      <c r="E327" s="37" t="b">
        <f t="shared" si="15"/>
        <v>1</v>
      </c>
      <c r="G327">
        <f t="shared" si="14"/>
        <v>0</v>
      </c>
    </row>
    <row r="328" spans="1:7" x14ac:dyDescent="0.35">
      <c r="A328" s="13" t="s">
        <v>534</v>
      </c>
      <c r="B328" s="13" t="s">
        <v>736</v>
      </c>
      <c r="C328" s="13" t="s">
        <v>744</v>
      </c>
      <c r="D328" s="13" t="s">
        <v>580</v>
      </c>
      <c r="E328" s="37" t="b">
        <f t="shared" si="15"/>
        <v>1</v>
      </c>
      <c r="G328">
        <f t="shared" si="14"/>
        <v>0</v>
      </c>
    </row>
    <row r="329" spans="1:7" x14ac:dyDescent="0.35">
      <c r="A329" s="13" t="s">
        <v>534</v>
      </c>
      <c r="B329" s="13" t="s">
        <v>736</v>
      </c>
      <c r="C329" s="13" t="s">
        <v>258</v>
      </c>
      <c r="D329" s="13" t="s">
        <v>600</v>
      </c>
      <c r="E329" s="37" t="b">
        <f t="shared" si="15"/>
        <v>1</v>
      </c>
      <c r="G329">
        <f t="shared" si="14"/>
        <v>0</v>
      </c>
    </row>
    <row r="330" spans="1:7" x14ac:dyDescent="0.35">
      <c r="A330" s="13" t="s">
        <v>534</v>
      </c>
      <c r="B330" s="13" t="s">
        <v>736</v>
      </c>
      <c r="C330" s="13" t="s">
        <v>239</v>
      </c>
      <c r="D330" s="13" t="s">
        <v>538</v>
      </c>
      <c r="E330" s="37" t="b">
        <f t="shared" si="15"/>
        <v>1</v>
      </c>
      <c r="G330">
        <f t="shared" si="14"/>
        <v>0</v>
      </c>
    </row>
    <row r="331" spans="1:7" x14ac:dyDescent="0.35">
      <c r="A331" s="13" t="s">
        <v>534</v>
      </c>
      <c r="B331" s="13" t="s">
        <v>736</v>
      </c>
      <c r="C331" s="13" t="s">
        <v>745</v>
      </c>
      <c r="D331" s="13" t="s">
        <v>568</v>
      </c>
      <c r="E331" s="37" t="b">
        <f t="shared" si="15"/>
        <v>1</v>
      </c>
      <c r="G331">
        <f t="shared" si="14"/>
        <v>0</v>
      </c>
    </row>
    <row r="332" spans="1:7" x14ac:dyDescent="0.35">
      <c r="A332" s="13" t="s">
        <v>534</v>
      </c>
      <c r="B332" s="13" t="s">
        <v>736</v>
      </c>
      <c r="C332" s="13" t="s">
        <v>746</v>
      </c>
      <c r="D332" s="13" t="s">
        <v>536</v>
      </c>
      <c r="E332" s="37" t="b">
        <f t="shared" si="15"/>
        <v>1</v>
      </c>
      <c r="G332">
        <f t="shared" si="14"/>
        <v>0</v>
      </c>
    </row>
    <row r="333" spans="1:7" x14ac:dyDescent="0.35">
      <c r="A333" s="13" t="s">
        <v>534</v>
      </c>
      <c r="B333" s="13" t="s">
        <v>736</v>
      </c>
      <c r="C333" s="13" t="s">
        <v>253</v>
      </c>
      <c r="D333" s="13" t="s">
        <v>538</v>
      </c>
      <c r="E333" s="37" t="b">
        <f t="shared" si="15"/>
        <v>1</v>
      </c>
      <c r="G333">
        <f t="shared" si="14"/>
        <v>0</v>
      </c>
    </row>
    <row r="334" spans="1:7" x14ac:dyDescent="0.35">
      <c r="A334" s="13" t="s">
        <v>534</v>
      </c>
      <c r="B334" s="13" t="s">
        <v>736</v>
      </c>
      <c r="C334" s="13" t="s">
        <v>735</v>
      </c>
      <c r="D334" s="13" t="s">
        <v>593</v>
      </c>
      <c r="E334" s="37" t="b">
        <f t="shared" si="15"/>
        <v>1</v>
      </c>
      <c r="G334">
        <f t="shared" si="14"/>
        <v>0</v>
      </c>
    </row>
    <row r="335" spans="1:7" x14ac:dyDescent="0.35">
      <c r="A335" s="13" t="s">
        <v>534</v>
      </c>
      <c r="B335" s="13" t="s">
        <v>747</v>
      </c>
      <c r="C335" s="13" t="s">
        <v>724</v>
      </c>
      <c r="D335" s="13" t="s">
        <v>576</v>
      </c>
      <c r="E335" s="37" t="b">
        <f t="shared" si="15"/>
        <v>1</v>
      </c>
      <c r="G335">
        <f t="shared" si="14"/>
        <v>0</v>
      </c>
    </row>
    <row r="336" spans="1:7" x14ac:dyDescent="0.35">
      <c r="A336" s="13" t="s">
        <v>534</v>
      </c>
      <c r="B336" s="13" t="s">
        <v>747</v>
      </c>
      <c r="C336" s="13" t="s">
        <v>274</v>
      </c>
      <c r="D336" s="13" t="s">
        <v>536</v>
      </c>
      <c r="E336" s="37" t="b">
        <f t="shared" si="15"/>
        <v>1</v>
      </c>
      <c r="G336">
        <f t="shared" si="14"/>
        <v>0</v>
      </c>
    </row>
    <row r="337" spans="1:7" x14ac:dyDescent="0.35">
      <c r="A337" s="13" t="s">
        <v>534</v>
      </c>
      <c r="B337" s="13" t="s">
        <v>747</v>
      </c>
      <c r="C337" s="13" t="s">
        <v>276</v>
      </c>
      <c r="D337" s="13" t="s">
        <v>668</v>
      </c>
      <c r="E337" s="37" t="b">
        <f t="shared" si="15"/>
        <v>1</v>
      </c>
      <c r="G337">
        <f t="shared" si="14"/>
        <v>0</v>
      </c>
    </row>
    <row r="338" spans="1:7" x14ac:dyDescent="0.35">
      <c r="A338" s="13" t="s">
        <v>534</v>
      </c>
      <c r="B338" s="13" t="s">
        <v>747</v>
      </c>
      <c r="C338" s="13" t="s">
        <v>281</v>
      </c>
      <c r="D338" s="13" t="s">
        <v>600</v>
      </c>
      <c r="E338" s="37" t="b">
        <f t="shared" si="15"/>
        <v>1</v>
      </c>
      <c r="G338">
        <f t="shared" si="14"/>
        <v>0</v>
      </c>
    </row>
    <row r="339" spans="1:7" x14ac:dyDescent="0.35">
      <c r="A339" s="13" t="s">
        <v>534</v>
      </c>
      <c r="B339" s="13" t="s">
        <v>747</v>
      </c>
      <c r="C339" s="13" t="s">
        <v>748</v>
      </c>
      <c r="D339" s="13" t="s">
        <v>580</v>
      </c>
      <c r="E339" s="37" t="b">
        <f t="shared" si="15"/>
        <v>1</v>
      </c>
      <c r="G339">
        <f t="shared" si="14"/>
        <v>0</v>
      </c>
    </row>
    <row r="340" spans="1:7" x14ac:dyDescent="0.35">
      <c r="A340" s="13" t="s">
        <v>534</v>
      </c>
      <c r="B340" s="13" t="s">
        <v>747</v>
      </c>
      <c r="C340" s="13" t="s">
        <v>284</v>
      </c>
      <c r="D340" s="13" t="s">
        <v>600</v>
      </c>
      <c r="E340" s="37" t="b">
        <f t="shared" si="15"/>
        <v>1</v>
      </c>
      <c r="G340">
        <f t="shared" ref="G340:G354" si="16">COUNTIF(C:C,F340)</f>
        <v>0</v>
      </c>
    </row>
    <row r="341" spans="1:7" x14ac:dyDescent="0.35">
      <c r="A341" s="13" t="s">
        <v>534</v>
      </c>
      <c r="B341" s="13" t="s">
        <v>747</v>
      </c>
      <c r="C341" s="13" t="s">
        <v>749</v>
      </c>
      <c r="D341" s="13" t="s">
        <v>547</v>
      </c>
      <c r="E341" s="37" t="b">
        <f t="shared" si="15"/>
        <v>1</v>
      </c>
      <c r="G341">
        <f t="shared" si="16"/>
        <v>0</v>
      </c>
    </row>
    <row r="342" spans="1:7" x14ac:dyDescent="0.35">
      <c r="A342" s="13" t="s">
        <v>534</v>
      </c>
      <c r="B342" s="13" t="s">
        <v>747</v>
      </c>
      <c r="C342" s="13" t="s">
        <v>750</v>
      </c>
      <c r="D342" s="13" t="s">
        <v>751</v>
      </c>
      <c r="E342" s="37" t="b">
        <f t="shared" si="15"/>
        <v>1</v>
      </c>
      <c r="G342">
        <f t="shared" si="16"/>
        <v>0</v>
      </c>
    </row>
    <row r="343" spans="1:7" x14ac:dyDescent="0.35">
      <c r="A343" s="13" t="s">
        <v>534</v>
      </c>
      <c r="B343" s="13" t="s">
        <v>747</v>
      </c>
      <c r="C343" s="13" t="s">
        <v>278</v>
      </c>
      <c r="D343" s="13" t="s">
        <v>569</v>
      </c>
      <c r="E343" s="37" t="b">
        <f t="shared" si="15"/>
        <v>1</v>
      </c>
      <c r="G343">
        <f t="shared" si="16"/>
        <v>0</v>
      </c>
    </row>
    <row r="344" spans="1:7" x14ac:dyDescent="0.35">
      <c r="A344" s="13" t="s">
        <v>534</v>
      </c>
      <c r="B344" s="13" t="s">
        <v>747</v>
      </c>
      <c r="C344" s="13" t="s">
        <v>287</v>
      </c>
      <c r="D344" s="13" t="s">
        <v>600</v>
      </c>
      <c r="E344" s="37" t="b">
        <f t="shared" si="15"/>
        <v>1</v>
      </c>
      <c r="G344">
        <f t="shared" si="16"/>
        <v>0</v>
      </c>
    </row>
    <row r="345" spans="1:7" x14ac:dyDescent="0.35">
      <c r="A345" s="13" t="s">
        <v>534</v>
      </c>
      <c r="B345" s="13" t="s">
        <v>747</v>
      </c>
      <c r="C345" s="13" t="s">
        <v>752</v>
      </c>
      <c r="D345" s="13" t="s">
        <v>547</v>
      </c>
      <c r="E345" s="37" t="b">
        <f t="shared" si="15"/>
        <v>1</v>
      </c>
      <c r="G345">
        <f t="shared" si="16"/>
        <v>0</v>
      </c>
    </row>
    <row r="346" spans="1:7" x14ac:dyDescent="0.35">
      <c r="A346" s="13" t="s">
        <v>534</v>
      </c>
      <c r="B346" s="13" t="s">
        <v>747</v>
      </c>
      <c r="C346" s="13" t="s">
        <v>727</v>
      </c>
      <c r="D346" s="13" t="s">
        <v>576</v>
      </c>
      <c r="E346" s="37" t="b">
        <f t="shared" si="15"/>
        <v>1</v>
      </c>
      <c r="G346">
        <f t="shared" si="16"/>
        <v>0</v>
      </c>
    </row>
    <row r="347" spans="1:7" x14ac:dyDescent="0.35">
      <c r="A347" s="13" t="s">
        <v>534</v>
      </c>
      <c r="B347" s="13" t="s">
        <v>747</v>
      </c>
      <c r="C347" s="13" t="s">
        <v>728</v>
      </c>
      <c r="D347" s="13" t="s">
        <v>576</v>
      </c>
      <c r="E347" s="37" t="b">
        <f t="shared" si="15"/>
        <v>1</v>
      </c>
      <c r="G347">
        <f t="shared" si="16"/>
        <v>0</v>
      </c>
    </row>
    <row r="348" spans="1:7" x14ac:dyDescent="0.35">
      <c r="A348" s="13" t="s">
        <v>534</v>
      </c>
      <c r="B348" s="13" t="s">
        <v>747</v>
      </c>
      <c r="C348" s="13" t="s">
        <v>237</v>
      </c>
      <c r="D348" s="13" t="s">
        <v>539</v>
      </c>
      <c r="E348" s="37" t="b">
        <f t="shared" si="15"/>
        <v>1</v>
      </c>
      <c r="G348">
        <f t="shared" si="16"/>
        <v>0</v>
      </c>
    </row>
    <row r="349" spans="1:7" x14ac:dyDescent="0.35">
      <c r="A349" s="13" t="s">
        <v>534</v>
      </c>
      <c r="B349" s="13" t="s">
        <v>747</v>
      </c>
      <c r="C349" s="13" t="s">
        <v>239</v>
      </c>
      <c r="D349" s="13" t="s">
        <v>538</v>
      </c>
      <c r="E349" s="37" t="b">
        <f t="shared" si="15"/>
        <v>1</v>
      </c>
      <c r="G349">
        <f t="shared" si="16"/>
        <v>0</v>
      </c>
    </row>
    <row r="350" spans="1:7" x14ac:dyDescent="0.35">
      <c r="A350" s="13" t="s">
        <v>534</v>
      </c>
      <c r="B350" s="13" t="s">
        <v>753</v>
      </c>
      <c r="C350" s="13" t="s">
        <v>241</v>
      </c>
      <c r="D350" s="13" t="s">
        <v>536</v>
      </c>
      <c r="E350" s="37" t="b">
        <f t="shared" si="15"/>
        <v>1</v>
      </c>
      <c r="G350">
        <f t="shared" si="16"/>
        <v>0</v>
      </c>
    </row>
    <row r="351" spans="1:7" x14ac:dyDescent="0.35">
      <c r="A351" s="13" t="s">
        <v>534</v>
      </c>
      <c r="B351" s="13" t="s">
        <v>753</v>
      </c>
      <c r="C351" s="13" t="s">
        <v>237</v>
      </c>
      <c r="D351" s="13" t="s">
        <v>539</v>
      </c>
      <c r="E351" s="37" t="b">
        <f t="shared" si="15"/>
        <v>1</v>
      </c>
      <c r="G351">
        <f t="shared" si="16"/>
        <v>0</v>
      </c>
    </row>
    <row r="352" spans="1:7" x14ac:dyDescent="0.35">
      <c r="A352" s="13" t="s">
        <v>534</v>
      </c>
      <c r="B352" s="13" t="s">
        <v>753</v>
      </c>
      <c r="C352" s="13" t="s">
        <v>239</v>
      </c>
      <c r="D352" s="13" t="s">
        <v>538</v>
      </c>
      <c r="E352" s="37" t="b">
        <f t="shared" si="15"/>
        <v>1</v>
      </c>
      <c r="G352">
        <f t="shared" si="16"/>
        <v>0</v>
      </c>
    </row>
    <row r="353" spans="1:7" x14ac:dyDescent="0.35">
      <c r="A353" s="13" t="s">
        <v>534</v>
      </c>
      <c r="B353" s="13" t="s">
        <v>753</v>
      </c>
      <c r="C353" s="13" t="s">
        <v>754</v>
      </c>
      <c r="D353" s="13" t="s">
        <v>600</v>
      </c>
      <c r="E353" s="37" t="b">
        <f t="shared" si="15"/>
        <v>1</v>
      </c>
      <c r="G353">
        <f t="shared" si="16"/>
        <v>0</v>
      </c>
    </row>
    <row r="354" spans="1:7" x14ac:dyDescent="0.35">
      <c r="A354" s="13" t="s">
        <v>534</v>
      </c>
      <c r="B354" s="13" t="s">
        <v>753</v>
      </c>
      <c r="C354" s="13" t="s">
        <v>523</v>
      </c>
      <c r="D354" s="13" t="s">
        <v>600</v>
      </c>
      <c r="E354" s="37" t="b">
        <f t="shared" si="15"/>
        <v>1</v>
      </c>
      <c r="G354">
        <f t="shared" si="16"/>
        <v>0</v>
      </c>
    </row>
    <row r="355" spans="1:7" x14ac:dyDescent="0.35">
      <c r="B355" s="13" t="s">
        <v>773</v>
      </c>
      <c r="C355" s="13" t="s">
        <v>760</v>
      </c>
      <c r="D355" s="13" t="s">
        <v>554</v>
      </c>
    </row>
    <row r="356" spans="1:7" x14ac:dyDescent="0.35">
      <c r="B356" s="13" t="s">
        <v>773</v>
      </c>
      <c r="C356" s="13" t="s">
        <v>348</v>
      </c>
      <c r="D356" s="13" t="s">
        <v>761</v>
      </c>
    </row>
    <row r="357" spans="1:7" x14ac:dyDescent="0.35">
      <c r="B357" s="13" t="s">
        <v>773</v>
      </c>
      <c r="C357" s="13" t="s">
        <v>597</v>
      </c>
      <c r="D357" s="13" t="s">
        <v>761</v>
      </c>
    </row>
    <row r="358" spans="1:7" x14ac:dyDescent="0.35">
      <c r="B358" s="13" t="s">
        <v>773</v>
      </c>
      <c r="C358" s="13" t="s">
        <v>762</v>
      </c>
      <c r="D358" s="13" t="s">
        <v>761</v>
      </c>
    </row>
    <row r="359" spans="1:7" x14ac:dyDescent="0.35">
      <c r="B359" s="13" t="s">
        <v>773</v>
      </c>
      <c r="C359" s="13" t="s">
        <v>763</v>
      </c>
      <c r="D359" s="13" t="s">
        <v>761</v>
      </c>
    </row>
    <row r="360" spans="1:7" x14ac:dyDescent="0.35">
      <c r="B360" s="13" t="s">
        <v>773</v>
      </c>
      <c r="C360" s="13" t="s">
        <v>367</v>
      </c>
      <c r="D360" s="13" t="s">
        <v>554</v>
      </c>
    </row>
    <row r="361" spans="1:7" x14ac:dyDescent="0.35">
      <c r="B361" s="13" t="s">
        <v>773</v>
      </c>
      <c r="C361" s="13" t="s">
        <v>369</v>
      </c>
      <c r="D361" s="13" t="s">
        <v>554</v>
      </c>
    </row>
    <row r="362" spans="1:7" x14ac:dyDescent="0.35">
      <c r="B362" s="13" t="s">
        <v>773</v>
      </c>
      <c r="C362" s="13" t="s">
        <v>360</v>
      </c>
      <c r="D362" s="13" t="s">
        <v>764</v>
      </c>
    </row>
    <row r="363" spans="1:7" x14ac:dyDescent="0.35">
      <c r="B363" s="13" t="s">
        <v>773</v>
      </c>
      <c r="C363" s="13" t="s">
        <v>363</v>
      </c>
      <c r="D363" s="13" t="s">
        <v>554</v>
      </c>
    </row>
    <row r="364" spans="1:7" x14ac:dyDescent="0.35">
      <c r="B364" s="13" t="s">
        <v>773</v>
      </c>
      <c r="C364" s="13" t="s">
        <v>607</v>
      </c>
      <c r="D364" s="13" t="s">
        <v>576</v>
      </c>
    </row>
    <row r="365" spans="1:7" x14ac:dyDescent="0.35">
      <c r="B365" s="13" t="s">
        <v>773</v>
      </c>
      <c r="C365" s="13" t="s">
        <v>351</v>
      </c>
      <c r="D365" s="13" t="s">
        <v>568</v>
      </c>
    </row>
    <row r="366" spans="1:7" x14ac:dyDescent="0.35">
      <c r="B366" s="13" t="s">
        <v>773</v>
      </c>
      <c r="C366" s="13" t="s">
        <v>765</v>
      </c>
      <c r="D366" s="13" t="s">
        <v>616</v>
      </c>
    </row>
    <row r="367" spans="1:7" x14ac:dyDescent="0.35">
      <c r="B367" s="13" t="s">
        <v>773</v>
      </c>
      <c r="C367" s="13" t="s">
        <v>766</v>
      </c>
      <c r="D367" s="13" t="s">
        <v>616</v>
      </c>
    </row>
    <row r="368" spans="1:7" x14ac:dyDescent="0.35">
      <c r="B368" s="13" t="s">
        <v>773</v>
      </c>
      <c r="C368" s="13" t="s">
        <v>767</v>
      </c>
      <c r="D368" s="13" t="s">
        <v>616</v>
      </c>
    </row>
    <row r="369" spans="2:4" x14ac:dyDescent="0.35">
      <c r="B369" s="13" t="s">
        <v>773</v>
      </c>
      <c r="C369" s="13" t="s">
        <v>768</v>
      </c>
      <c r="D369" s="13" t="s">
        <v>539</v>
      </c>
    </row>
    <row r="370" spans="2:4" x14ac:dyDescent="0.35">
      <c r="B370" s="13" t="s">
        <v>773</v>
      </c>
      <c r="C370" s="13" t="s">
        <v>769</v>
      </c>
      <c r="D370" s="13" t="s">
        <v>601</v>
      </c>
    </row>
    <row r="371" spans="2:4" x14ac:dyDescent="0.35">
      <c r="B371" s="13" t="s">
        <v>773</v>
      </c>
      <c r="C371" s="13" t="s">
        <v>770</v>
      </c>
      <c r="D371" s="13" t="s">
        <v>616</v>
      </c>
    </row>
    <row r="372" spans="2:4" x14ac:dyDescent="0.35">
      <c r="B372" s="13" t="s">
        <v>773</v>
      </c>
      <c r="C372" s="13" t="s">
        <v>771</v>
      </c>
      <c r="D372" s="13" t="s">
        <v>616</v>
      </c>
    </row>
    <row r="373" spans="2:4" x14ac:dyDescent="0.35">
      <c r="B373" s="13" t="s">
        <v>773</v>
      </c>
      <c r="C373" s="13" t="s">
        <v>772</v>
      </c>
      <c r="D373" s="13" t="s">
        <v>616</v>
      </c>
    </row>
  </sheetData>
  <autoFilter ref="A1:G373" xr:uid="{5B57B404-6D80-4150-9C36-FB503BE729E0}"/>
  <sortState xmlns:xlrd2="http://schemas.microsoft.com/office/spreadsheetml/2017/richdata2" ref="C350:D354">
    <sortCondition ref="C350:C354"/>
  </sortState>
  <pageMargins left="0.7" right="0.7" top="0.75" bottom="0.75" header="0.3" footer="0.3"/>
  <customProperties>
    <customPr name="QAA_DRILLPATH_NODE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8D5F-4B47-4D0E-A9FA-D5BF791B84A9}">
  <sheetPr>
    <tabColor rgb="FF92D050"/>
  </sheetPr>
  <dimension ref="B1:J242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2" max="2" width="31.453125" bestFit="1" customWidth="1"/>
    <col min="3" max="3" width="40.81640625" bestFit="1" customWidth="1"/>
    <col min="4" max="4" width="17.1796875" customWidth="1"/>
    <col min="5" max="5" width="9.54296875" customWidth="1"/>
    <col min="6" max="6" width="10.54296875" bestFit="1" customWidth="1"/>
  </cols>
  <sheetData>
    <row r="1" spans="2:6" ht="18.649999999999999" customHeight="1" x14ac:dyDescent="0.35">
      <c r="B1" s="114" t="s">
        <v>2</v>
      </c>
      <c r="C1" s="114" t="s">
        <v>755</v>
      </c>
      <c r="D1" s="114" t="s">
        <v>3</v>
      </c>
      <c r="E1" s="114" t="s">
        <v>148</v>
      </c>
      <c r="F1" s="114" t="s">
        <v>756</v>
      </c>
    </row>
    <row r="2" spans="2:6" x14ac:dyDescent="0.35">
      <c r="B2" s="91" t="s">
        <v>44</v>
      </c>
      <c r="C2" s="91" t="s">
        <v>112</v>
      </c>
      <c r="D2" s="91" t="s">
        <v>10</v>
      </c>
      <c r="E2" s="91" t="s">
        <v>4</v>
      </c>
      <c r="F2" s="69" t="s">
        <v>757</v>
      </c>
    </row>
    <row r="3" spans="2:6" x14ac:dyDescent="0.35">
      <c r="B3" s="91" t="s">
        <v>44</v>
      </c>
      <c r="C3" s="91" t="s">
        <v>117</v>
      </c>
      <c r="D3" s="91" t="s">
        <v>14</v>
      </c>
      <c r="E3" s="91" t="s">
        <v>4</v>
      </c>
      <c r="F3" s="69" t="s">
        <v>757</v>
      </c>
    </row>
    <row r="4" spans="2:6" x14ac:dyDescent="0.35">
      <c r="B4" s="91" t="s">
        <v>44</v>
      </c>
      <c r="C4" s="91" t="s">
        <v>119</v>
      </c>
      <c r="D4" s="91" t="s">
        <v>68</v>
      </c>
      <c r="E4" s="93"/>
      <c r="F4" s="69" t="s">
        <v>758</v>
      </c>
    </row>
    <row r="5" spans="2:6" x14ac:dyDescent="0.35">
      <c r="B5" s="91" t="s">
        <v>44</v>
      </c>
      <c r="C5" s="23" t="s">
        <v>121</v>
      </c>
      <c r="D5" s="91" t="s">
        <v>16</v>
      </c>
      <c r="E5" s="91" t="s">
        <v>4</v>
      </c>
      <c r="F5" s="69" t="s">
        <v>757</v>
      </c>
    </row>
    <row r="6" spans="2:6" x14ac:dyDescent="0.35">
      <c r="B6" s="91" t="s">
        <v>44</v>
      </c>
      <c r="C6" s="23" t="s">
        <v>123</v>
      </c>
      <c r="D6" s="91" t="s">
        <v>14</v>
      </c>
      <c r="E6" s="93"/>
      <c r="F6" s="69" t="s">
        <v>758</v>
      </c>
    </row>
    <row r="7" spans="2:6" x14ac:dyDescent="0.35">
      <c r="B7" s="91" t="s">
        <v>44</v>
      </c>
      <c r="C7" s="91" t="s">
        <v>125</v>
      </c>
      <c r="D7" s="91" t="s">
        <v>14</v>
      </c>
      <c r="E7" s="93"/>
      <c r="F7" s="69" t="s">
        <v>758</v>
      </c>
    </row>
    <row r="8" spans="2:6" x14ac:dyDescent="0.35">
      <c r="B8" s="91" t="s">
        <v>44</v>
      </c>
      <c r="C8" s="23" t="s">
        <v>127</v>
      </c>
      <c r="D8" s="91" t="s">
        <v>68</v>
      </c>
      <c r="E8" s="93"/>
      <c r="F8" s="69" t="s">
        <v>758</v>
      </c>
    </row>
    <row r="9" spans="2:6" x14ac:dyDescent="0.35">
      <c r="B9" s="91" t="s">
        <v>44</v>
      </c>
      <c r="C9" s="23" t="s">
        <v>129</v>
      </c>
      <c r="D9" s="91" t="s">
        <v>68</v>
      </c>
      <c r="E9" s="93"/>
      <c r="F9" s="69" t="s">
        <v>758</v>
      </c>
    </row>
    <row r="10" spans="2:6" x14ac:dyDescent="0.35">
      <c r="B10" s="91" t="s">
        <v>44</v>
      </c>
      <c r="C10" s="91" t="s">
        <v>131</v>
      </c>
      <c r="D10" s="91" t="s">
        <v>10</v>
      </c>
      <c r="E10" s="93"/>
      <c r="F10" s="69" t="s">
        <v>758</v>
      </c>
    </row>
    <row r="11" spans="2:6" x14ac:dyDescent="0.35">
      <c r="B11" s="91" t="s">
        <v>44</v>
      </c>
      <c r="C11" s="91" t="s">
        <v>134</v>
      </c>
      <c r="D11" s="91" t="s">
        <v>14</v>
      </c>
      <c r="E11" s="93"/>
      <c r="F11" s="69" t="s">
        <v>758</v>
      </c>
    </row>
    <row r="12" spans="2:6" x14ac:dyDescent="0.35">
      <c r="B12" s="91" t="s">
        <v>44</v>
      </c>
      <c r="C12" s="91" t="s">
        <v>135</v>
      </c>
      <c r="D12" s="91" t="s">
        <v>16</v>
      </c>
      <c r="E12" s="93"/>
      <c r="F12" s="69" t="s">
        <v>758</v>
      </c>
    </row>
    <row r="13" spans="2:6" x14ac:dyDescent="0.35">
      <c r="B13" s="91" t="s">
        <v>44</v>
      </c>
      <c r="C13" s="91" t="s">
        <v>136</v>
      </c>
      <c r="D13" s="91" t="s">
        <v>65</v>
      </c>
      <c r="E13" s="93"/>
      <c r="F13" s="69" t="s">
        <v>758</v>
      </c>
    </row>
    <row r="14" spans="2:6" x14ac:dyDescent="0.35">
      <c r="B14" s="91" t="s">
        <v>44</v>
      </c>
      <c r="C14" s="91" t="s">
        <v>137</v>
      </c>
      <c r="D14" s="91" t="s">
        <v>27</v>
      </c>
      <c r="E14" s="93"/>
      <c r="F14" s="69" t="s">
        <v>758</v>
      </c>
    </row>
    <row r="15" spans="2:6" x14ac:dyDescent="0.35">
      <c r="B15" s="94" t="s">
        <v>44</v>
      </c>
      <c r="C15" s="23" t="s">
        <v>138</v>
      </c>
      <c r="D15" s="94" t="s">
        <v>68</v>
      </c>
      <c r="E15" s="93"/>
      <c r="F15" s="69" t="s">
        <v>758</v>
      </c>
    </row>
    <row r="16" spans="2:6" x14ac:dyDescent="0.35">
      <c r="B16" s="94" t="s">
        <v>44</v>
      </c>
      <c r="C16" s="69" t="s">
        <v>140</v>
      </c>
      <c r="D16" s="94" t="s">
        <v>10</v>
      </c>
      <c r="E16" s="93"/>
      <c r="F16" s="69" t="s">
        <v>758</v>
      </c>
    </row>
    <row r="17" spans="2:6" x14ac:dyDescent="0.35">
      <c r="B17" s="94" t="s">
        <v>44</v>
      </c>
      <c r="C17" s="69" t="s">
        <v>141</v>
      </c>
      <c r="D17" s="94" t="s">
        <v>14</v>
      </c>
      <c r="E17" s="93"/>
      <c r="F17" s="69" t="s">
        <v>758</v>
      </c>
    </row>
    <row r="18" spans="2:6" x14ac:dyDescent="0.35">
      <c r="B18" s="94" t="s">
        <v>44</v>
      </c>
      <c r="C18" s="69" t="s">
        <v>142</v>
      </c>
      <c r="D18" s="94" t="s">
        <v>16</v>
      </c>
      <c r="E18" s="93"/>
      <c r="F18" s="69" t="s">
        <v>758</v>
      </c>
    </row>
    <row r="19" spans="2:6" x14ac:dyDescent="0.35">
      <c r="B19" s="94" t="s">
        <v>44</v>
      </c>
      <c r="C19" s="23" t="s">
        <v>143</v>
      </c>
      <c r="D19" s="94" t="s">
        <v>144</v>
      </c>
      <c r="E19" s="93"/>
      <c r="F19" s="69" t="s">
        <v>758</v>
      </c>
    </row>
    <row r="20" spans="2:6" x14ac:dyDescent="0.35">
      <c r="B20" s="94" t="s">
        <v>44</v>
      </c>
      <c r="C20" s="69" t="s">
        <v>145</v>
      </c>
      <c r="D20" s="94" t="s">
        <v>146</v>
      </c>
      <c r="E20" s="93"/>
      <c r="F20" s="69" t="s">
        <v>758</v>
      </c>
    </row>
    <row r="21" spans="2:6" x14ac:dyDescent="0.35">
      <c r="B21" s="92" t="s">
        <v>44</v>
      </c>
      <c r="C21" s="92" t="s">
        <v>43</v>
      </c>
      <c r="D21" s="92" t="s">
        <v>45</v>
      </c>
      <c r="E21" s="92"/>
      <c r="F21" s="69" t="s">
        <v>758</v>
      </c>
    </row>
    <row r="22" spans="2:6" x14ac:dyDescent="0.35">
      <c r="B22" s="92" t="s">
        <v>44</v>
      </c>
      <c r="C22" s="92" t="s">
        <v>47</v>
      </c>
      <c r="D22" s="92" t="s">
        <v>45</v>
      </c>
      <c r="E22" s="92"/>
      <c r="F22" s="69" t="s">
        <v>758</v>
      </c>
    </row>
    <row r="23" spans="2:6" x14ac:dyDescent="0.35">
      <c r="B23" s="92" t="s">
        <v>44</v>
      </c>
      <c r="C23" s="92" t="s">
        <v>49</v>
      </c>
      <c r="D23" s="92" t="s">
        <v>45</v>
      </c>
      <c r="E23" s="92"/>
      <c r="F23" s="69" t="s">
        <v>758</v>
      </c>
    </row>
    <row r="24" spans="2:6" x14ac:dyDescent="0.35">
      <c r="B24" s="92" t="s">
        <v>44</v>
      </c>
      <c r="C24" s="92" t="s">
        <v>51</v>
      </c>
      <c r="D24" s="92" t="s">
        <v>45</v>
      </c>
      <c r="E24" s="94"/>
      <c r="F24" s="69" t="s">
        <v>758</v>
      </c>
    </row>
    <row r="25" spans="2:6" x14ac:dyDescent="0.35">
      <c r="B25" s="92" t="s">
        <v>44</v>
      </c>
      <c r="C25" s="92" t="s">
        <v>53</v>
      </c>
      <c r="D25" s="92" t="s">
        <v>45</v>
      </c>
      <c r="E25" s="92"/>
      <c r="F25" s="69" t="s">
        <v>758</v>
      </c>
    </row>
    <row r="26" spans="2:6" x14ac:dyDescent="0.35">
      <c r="B26" s="92" t="s">
        <v>44</v>
      </c>
      <c r="C26" s="92" t="s">
        <v>55</v>
      </c>
      <c r="D26" s="92" t="s">
        <v>45</v>
      </c>
      <c r="E26" s="92"/>
      <c r="F26" s="69" t="s">
        <v>758</v>
      </c>
    </row>
    <row r="27" spans="2:6" x14ac:dyDescent="0.35">
      <c r="B27" s="92" t="s">
        <v>44</v>
      </c>
      <c r="C27" s="92" t="s">
        <v>57</v>
      </c>
      <c r="D27" s="92" t="s">
        <v>45</v>
      </c>
      <c r="E27" s="92"/>
      <c r="F27" s="69" t="s">
        <v>758</v>
      </c>
    </row>
    <row r="28" spans="2:6" x14ac:dyDescent="0.35">
      <c r="B28" s="92" t="s">
        <v>44</v>
      </c>
      <c r="C28" s="92" t="s">
        <v>59</v>
      </c>
      <c r="D28" s="92" t="s">
        <v>45</v>
      </c>
      <c r="E28" s="92"/>
      <c r="F28" s="69" t="s">
        <v>758</v>
      </c>
    </row>
    <row r="29" spans="2:6" x14ac:dyDescent="0.35">
      <c r="B29" s="92" t="s">
        <v>44</v>
      </c>
      <c r="C29" s="92" t="s">
        <v>61</v>
      </c>
      <c r="D29" s="92" t="s">
        <v>45</v>
      </c>
      <c r="E29" s="92"/>
      <c r="F29" s="69" t="s">
        <v>758</v>
      </c>
    </row>
    <row r="30" spans="2:6" x14ac:dyDescent="0.35">
      <c r="B30" s="100" t="s">
        <v>147</v>
      </c>
      <c r="C30" s="100" t="s">
        <v>112</v>
      </c>
      <c r="D30" s="100" t="s">
        <v>10</v>
      </c>
      <c r="E30" s="100" t="s">
        <v>148</v>
      </c>
      <c r="F30" s="102" t="s">
        <v>757</v>
      </c>
    </row>
    <row r="31" spans="2:6" x14ac:dyDescent="0.35">
      <c r="B31" s="100" t="s">
        <v>147</v>
      </c>
      <c r="C31" s="100" t="s">
        <v>117</v>
      </c>
      <c r="D31" s="100" t="s">
        <v>14</v>
      </c>
      <c r="E31" s="100" t="s">
        <v>148</v>
      </c>
      <c r="F31" s="102" t="s">
        <v>757</v>
      </c>
    </row>
    <row r="32" spans="2:6" x14ac:dyDescent="0.35">
      <c r="B32" s="100" t="s">
        <v>147</v>
      </c>
      <c r="C32" s="100" t="s">
        <v>149</v>
      </c>
      <c r="D32" s="100" t="s">
        <v>16</v>
      </c>
      <c r="E32" s="100" t="s">
        <v>148</v>
      </c>
      <c r="F32" s="102" t="s">
        <v>757</v>
      </c>
    </row>
    <row r="33" spans="2:6" x14ac:dyDescent="0.35">
      <c r="B33" s="100" t="s">
        <v>147</v>
      </c>
      <c r="C33" s="100" t="s">
        <v>151</v>
      </c>
      <c r="D33" s="100" t="s">
        <v>33</v>
      </c>
      <c r="E33" s="101"/>
      <c r="F33" s="102" t="s">
        <v>758</v>
      </c>
    </row>
    <row r="34" spans="2:6" x14ac:dyDescent="0.35">
      <c r="B34" s="92" t="s">
        <v>154</v>
      </c>
      <c r="C34" s="92" t="s">
        <v>153</v>
      </c>
      <c r="D34" s="92" t="s">
        <v>10</v>
      </c>
      <c r="E34" s="92" t="s">
        <v>148</v>
      </c>
      <c r="F34" s="69" t="s">
        <v>757</v>
      </c>
    </row>
    <row r="35" spans="2:6" x14ac:dyDescent="0.35">
      <c r="B35" s="92" t="s">
        <v>154</v>
      </c>
      <c r="C35" s="92" t="s">
        <v>155</v>
      </c>
      <c r="D35" s="92" t="s">
        <v>14</v>
      </c>
      <c r="E35" s="92" t="s">
        <v>148</v>
      </c>
      <c r="F35" s="69" t="s">
        <v>757</v>
      </c>
    </row>
    <row r="36" spans="2:6" x14ac:dyDescent="0.35">
      <c r="B36" s="92" t="s">
        <v>154</v>
      </c>
      <c r="C36" s="92" t="s">
        <v>149</v>
      </c>
      <c r="D36" s="92" t="s">
        <v>16</v>
      </c>
      <c r="E36" s="92" t="s">
        <v>148</v>
      </c>
      <c r="F36" s="69" t="s">
        <v>757</v>
      </c>
    </row>
    <row r="37" spans="2:6" x14ac:dyDescent="0.35">
      <c r="B37" s="92" t="s">
        <v>154</v>
      </c>
      <c r="C37" s="92" t="s">
        <v>156</v>
      </c>
      <c r="D37" s="92" t="s">
        <v>157</v>
      </c>
      <c r="E37" s="93"/>
      <c r="F37" s="69" t="s">
        <v>758</v>
      </c>
    </row>
    <row r="38" spans="2:6" x14ac:dyDescent="0.35">
      <c r="B38" s="100" t="s">
        <v>159</v>
      </c>
      <c r="C38" s="100" t="s">
        <v>153</v>
      </c>
      <c r="D38" s="100" t="s">
        <v>10</v>
      </c>
      <c r="E38" s="100" t="s">
        <v>148</v>
      </c>
      <c r="F38" s="102" t="s">
        <v>757</v>
      </c>
    </row>
    <row r="39" spans="2:6" x14ac:dyDescent="0.35">
      <c r="B39" s="100" t="s">
        <v>159</v>
      </c>
      <c r="C39" s="100" t="s">
        <v>155</v>
      </c>
      <c r="D39" s="100" t="s">
        <v>14</v>
      </c>
      <c r="E39" s="100" t="s">
        <v>148</v>
      </c>
      <c r="F39" s="102" t="s">
        <v>757</v>
      </c>
    </row>
    <row r="40" spans="2:6" x14ac:dyDescent="0.35">
      <c r="B40" s="100" t="s">
        <v>159</v>
      </c>
      <c r="C40" s="100" t="s">
        <v>160</v>
      </c>
      <c r="D40" s="100" t="s">
        <v>16</v>
      </c>
      <c r="E40" s="100" t="s">
        <v>148</v>
      </c>
      <c r="F40" s="102" t="s">
        <v>757</v>
      </c>
    </row>
    <row r="41" spans="2:6" x14ac:dyDescent="0.35">
      <c r="B41" s="100" t="s">
        <v>159</v>
      </c>
      <c r="C41" s="100" t="s">
        <v>162</v>
      </c>
      <c r="D41" s="100" t="s">
        <v>163</v>
      </c>
      <c r="E41" s="101"/>
      <c r="F41" s="102" t="s">
        <v>758</v>
      </c>
    </row>
    <row r="42" spans="2:6" x14ac:dyDescent="0.35">
      <c r="B42" s="92" t="s">
        <v>165</v>
      </c>
      <c r="C42" s="92" t="s">
        <v>153</v>
      </c>
      <c r="D42" s="92" t="s">
        <v>10</v>
      </c>
      <c r="E42" s="92" t="s">
        <v>148</v>
      </c>
      <c r="F42" s="69" t="s">
        <v>757</v>
      </c>
    </row>
    <row r="43" spans="2:6" x14ac:dyDescent="0.35">
      <c r="B43" s="92" t="s">
        <v>165</v>
      </c>
      <c r="C43" s="92" t="s">
        <v>155</v>
      </c>
      <c r="D43" s="92" t="s">
        <v>14</v>
      </c>
      <c r="E43" s="92" t="s">
        <v>148</v>
      </c>
      <c r="F43" s="69" t="s">
        <v>757</v>
      </c>
    </row>
    <row r="44" spans="2:6" x14ac:dyDescent="0.35">
      <c r="B44" s="92" t="s">
        <v>165</v>
      </c>
      <c r="C44" s="92" t="s">
        <v>166</v>
      </c>
      <c r="D44" s="92" t="s">
        <v>18</v>
      </c>
      <c r="E44" s="93"/>
      <c r="F44" s="69" t="s">
        <v>758</v>
      </c>
    </row>
    <row r="45" spans="2:6" x14ac:dyDescent="0.35">
      <c r="B45" s="92" t="s">
        <v>165</v>
      </c>
      <c r="C45" s="92" t="s">
        <v>170</v>
      </c>
      <c r="D45" s="92" t="s">
        <v>171</v>
      </c>
      <c r="E45" s="93"/>
      <c r="F45" s="69" t="s">
        <v>758</v>
      </c>
    </row>
    <row r="46" spans="2:6" x14ac:dyDescent="0.35">
      <c r="B46" s="92" t="s">
        <v>165</v>
      </c>
      <c r="C46" s="92" t="s">
        <v>174</v>
      </c>
      <c r="D46" s="92" t="s">
        <v>16</v>
      </c>
      <c r="E46" s="92" t="s">
        <v>148</v>
      </c>
      <c r="F46" s="69" t="s">
        <v>757</v>
      </c>
    </row>
    <row r="47" spans="2:6" x14ac:dyDescent="0.35">
      <c r="B47" s="92" t="s">
        <v>165</v>
      </c>
      <c r="C47" s="92" t="s">
        <v>176</v>
      </c>
      <c r="D47" s="92" t="s">
        <v>177</v>
      </c>
      <c r="E47" s="93"/>
      <c r="F47" s="69" t="s">
        <v>758</v>
      </c>
    </row>
    <row r="48" spans="2:6" x14ac:dyDescent="0.35">
      <c r="B48" s="92" t="s">
        <v>165</v>
      </c>
      <c r="C48" s="92" t="s">
        <v>181</v>
      </c>
      <c r="D48" s="92" t="s">
        <v>38</v>
      </c>
      <c r="E48" s="93"/>
      <c r="F48" s="69" t="s">
        <v>758</v>
      </c>
    </row>
    <row r="49" spans="2:6" x14ac:dyDescent="0.35">
      <c r="B49" s="100" t="s">
        <v>93</v>
      </c>
      <c r="C49" s="100" t="s">
        <v>184</v>
      </c>
      <c r="D49" s="100" t="s">
        <v>14</v>
      </c>
      <c r="E49" s="101"/>
      <c r="F49" s="102" t="s">
        <v>758</v>
      </c>
    </row>
    <row r="50" spans="2:6" x14ac:dyDescent="0.35">
      <c r="B50" s="100" t="s">
        <v>93</v>
      </c>
      <c r="C50" s="100" t="s">
        <v>186</v>
      </c>
      <c r="D50" s="100" t="s">
        <v>10</v>
      </c>
      <c r="E50" s="100" t="s">
        <v>4</v>
      </c>
      <c r="F50" s="102" t="s">
        <v>757</v>
      </c>
    </row>
    <row r="51" spans="2:6" x14ac:dyDescent="0.35">
      <c r="B51" s="100" t="s">
        <v>93</v>
      </c>
      <c r="C51" s="100" t="s">
        <v>188</v>
      </c>
      <c r="D51" s="100" t="s">
        <v>14</v>
      </c>
      <c r="E51" s="100" t="s">
        <v>4</v>
      </c>
      <c r="F51" s="102" t="s">
        <v>757</v>
      </c>
    </row>
    <row r="52" spans="2:6" x14ac:dyDescent="0.35">
      <c r="B52" s="100" t="s">
        <v>93</v>
      </c>
      <c r="C52" s="100" t="s">
        <v>190</v>
      </c>
      <c r="D52" s="100" t="s">
        <v>16</v>
      </c>
      <c r="E52" s="100" t="s">
        <v>4</v>
      </c>
      <c r="F52" s="102" t="s">
        <v>757</v>
      </c>
    </row>
    <row r="53" spans="2:6" x14ac:dyDescent="0.35">
      <c r="B53" s="100" t="s">
        <v>93</v>
      </c>
      <c r="C53" s="100" t="s">
        <v>112</v>
      </c>
      <c r="D53" s="100" t="s">
        <v>10</v>
      </c>
      <c r="E53" s="100" t="s">
        <v>192</v>
      </c>
      <c r="F53" s="102" t="s">
        <v>757</v>
      </c>
    </row>
    <row r="54" spans="2:6" x14ac:dyDescent="0.35">
      <c r="B54" s="100" t="s">
        <v>93</v>
      </c>
      <c r="C54" s="100" t="s">
        <v>117</v>
      </c>
      <c r="D54" s="100" t="s">
        <v>14</v>
      </c>
      <c r="E54" s="100" t="s">
        <v>192</v>
      </c>
      <c r="F54" s="102" t="s">
        <v>757</v>
      </c>
    </row>
    <row r="55" spans="2:6" x14ac:dyDescent="0.35">
      <c r="B55" s="100" t="s">
        <v>93</v>
      </c>
      <c r="C55" s="100" t="s">
        <v>121</v>
      </c>
      <c r="D55" s="100" t="s">
        <v>16</v>
      </c>
      <c r="E55" s="100" t="s">
        <v>192</v>
      </c>
      <c r="F55" s="102" t="s">
        <v>757</v>
      </c>
    </row>
    <row r="56" spans="2:6" x14ac:dyDescent="0.35">
      <c r="B56" s="100" t="s">
        <v>93</v>
      </c>
      <c r="C56" s="100" t="s">
        <v>193</v>
      </c>
      <c r="D56" s="100" t="s">
        <v>10</v>
      </c>
      <c r="E56" s="101"/>
      <c r="F56" s="102" t="s">
        <v>758</v>
      </c>
    </row>
    <row r="57" spans="2:6" x14ac:dyDescent="0.35">
      <c r="B57" s="100" t="s">
        <v>93</v>
      </c>
      <c r="C57" s="100" t="s">
        <v>194</v>
      </c>
      <c r="D57" s="100" t="s">
        <v>14</v>
      </c>
      <c r="E57" s="101"/>
      <c r="F57" s="102" t="s">
        <v>758</v>
      </c>
    </row>
    <row r="58" spans="2:6" x14ac:dyDescent="0.35">
      <c r="B58" s="100" t="s">
        <v>93</v>
      </c>
      <c r="C58" s="102" t="s">
        <v>195</v>
      </c>
      <c r="D58" s="100" t="s">
        <v>16</v>
      </c>
      <c r="E58" s="101"/>
      <c r="F58" s="102" t="s">
        <v>758</v>
      </c>
    </row>
    <row r="59" spans="2:6" x14ac:dyDescent="0.35">
      <c r="B59" s="100" t="s">
        <v>93</v>
      </c>
      <c r="C59" s="100" t="s">
        <v>196</v>
      </c>
      <c r="D59" s="100" t="s">
        <v>65</v>
      </c>
      <c r="E59" s="101"/>
      <c r="F59" s="102" t="s">
        <v>758</v>
      </c>
    </row>
    <row r="60" spans="2:6" x14ac:dyDescent="0.35">
      <c r="B60" s="100" t="s">
        <v>93</v>
      </c>
      <c r="C60" s="100" t="s">
        <v>197</v>
      </c>
      <c r="D60" s="100" t="s">
        <v>27</v>
      </c>
      <c r="E60" s="101"/>
      <c r="F60" s="102" t="s">
        <v>758</v>
      </c>
    </row>
    <row r="61" spans="2:6" x14ac:dyDescent="0.35">
      <c r="B61" s="100" t="s">
        <v>93</v>
      </c>
      <c r="C61" s="100" t="s">
        <v>198</v>
      </c>
      <c r="D61" s="100" t="s">
        <v>10</v>
      </c>
      <c r="E61" s="101"/>
      <c r="F61" s="102" t="s">
        <v>758</v>
      </c>
    </row>
    <row r="62" spans="2:6" x14ac:dyDescent="0.35">
      <c r="B62" s="100" t="s">
        <v>93</v>
      </c>
      <c r="C62" s="100" t="s">
        <v>199</v>
      </c>
      <c r="D62" s="100" t="s">
        <v>14</v>
      </c>
      <c r="E62" s="101"/>
      <c r="F62" s="102" t="s">
        <v>758</v>
      </c>
    </row>
    <row r="63" spans="2:6" x14ac:dyDescent="0.35">
      <c r="B63" s="100" t="s">
        <v>93</v>
      </c>
      <c r="C63" s="100" t="s">
        <v>200</v>
      </c>
      <c r="D63" s="100" t="s">
        <v>16</v>
      </c>
      <c r="E63" s="101"/>
      <c r="F63" s="102" t="s">
        <v>758</v>
      </c>
    </row>
    <row r="64" spans="2:6" x14ac:dyDescent="0.35">
      <c r="B64" s="100" t="s">
        <v>93</v>
      </c>
      <c r="C64" s="100" t="s">
        <v>201</v>
      </c>
      <c r="D64" s="103" t="s">
        <v>144</v>
      </c>
      <c r="E64" s="101"/>
      <c r="F64" s="102" t="s">
        <v>758</v>
      </c>
    </row>
    <row r="65" spans="2:10" x14ac:dyDescent="0.35">
      <c r="B65" s="100" t="s">
        <v>93</v>
      </c>
      <c r="C65" s="100" t="s">
        <v>405</v>
      </c>
      <c r="D65" s="100" t="s">
        <v>14</v>
      </c>
      <c r="E65" s="100"/>
      <c r="F65" s="102" t="s">
        <v>758</v>
      </c>
      <c r="G65" s="98"/>
      <c r="H65" s="98"/>
      <c r="I65" s="98"/>
      <c r="J65" s="98"/>
    </row>
    <row r="66" spans="2:10" x14ac:dyDescent="0.35">
      <c r="B66" s="92" t="s">
        <v>202</v>
      </c>
      <c r="C66" s="92" t="s">
        <v>190</v>
      </c>
      <c r="D66" s="92" t="s">
        <v>16</v>
      </c>
      <c r="E66" s="92" t="s">
        <v>148</v>
      </c>
      <c r="F66" s="69" t="s">
        <v>757</v>
      </c>
    </row>
    <row r="67" spans="2:10" x14ac:dyDescent="0.35">
      <c r="B67" s="92" t="s">
        <v>202</v>
      </c>
      <c r="C67" s="92" t="s">
        <v>186</v>
      </c>
      <c r="D67" s="92" t="s">
        <v>10</v>
      </c>
      <c r="E67" s="92" t="s">
        <v>148</v>
      </c>
      <c r="F67" s="69" t="s">
        <v>757</v>
      </c>
    </row>
    <row r="68" spans="2:10" x14ac:dyDescent="0.35">
      <c r="B68" s="92" t="s">
        <v>202</v>
      </c>
      <c r="C68" s="92" t="s">
        <v>188</v>
      </c>
      <c r="D68" s="92" t="s">
        <v>14</v>
      </c>
      <c r="E68" s="92" t="s">
        <v>148</v>
      </c>
      <c r="F68" s="69" t="s">
        <v>757</v>
      </c>
    </row>
    <row r="69" spans="2:10" x14ac:dyDescent="0.35">
      <c r="B69" s="100" t="s">
        <v>64</v>
      </c>
      <c r="C69" s="100" t="s">
        <v>203</v>
      </c>
      <c r="D69" s="100" t="s">
        <v>10</v>
      </c>
      <c r="E69" s="100" t="s">
        <v>4</v>
      </c>
      <c r="F69" s="102" t="s">
        <v>757</v>
      </c>
    </row>
    <row r="70" spans="2:10" x14ac:dyDescent="0.35">
      <c r="B70" s="100" t="s">
        <v>64</v>
      </c>
      <c r="C70" s="100" t="s">
        <v>205</v>
      </c>
      <c r="D70" s="104" t="s">
        <v>14</v>
      </c>
      <c r="E70" s="100" t="s">
        <v>4</v>
      </c>
      <c r="F70" s="102" t="s">
        <v>757</v>
      </c>
    </row>
    <row r="71" spans="2:10" x14ac:dyDescent="0.35">
      <c r="B71" s="100" t="s">
        <v>64</v>
      </c>
      <c r="C71" s="100" t="s">
        <v>207</v>
      </c>
      <c r="D71" s="100" t="s">
        <v>16</v>
      </c>
      <c r="E71" s="100" t="s">
        <v>4</v>
      </c>
      <c r="F71" s="102" t="s">
        <v>757</v>
      </c>
    </row>
    <row r="72" spans="2:10" x14ac:dyDescent="0.35">
      <c r="B72" s="100" t="s">
        <v>64</v>
      </c>
      <c r="C72" s="100" t="s">
        <v>209</v>
      </c>
      <c r="D72" s="100" t="s">
        <v>33</v>
      </c>
      <c r="E72" s="101"/>
      <c r="F72" s="102" t="s">
        <v>758</v>
      </c>
    </row>
    <row r="73" spans="2:10" x14ac:dyDescent="0.35">
      <c r="B73" s="100" t="s">
        <v>64</v>
      </c>
      <c r="C73" s="100" t="s">
        <v>211</v>
      </c>
      <c r="D73" s="100" t="s">
        <v>33</v>
      </c>
      <c r="E73" s="101"/>
      <c r="F73" s="102" t="s">
        <v>758</v>
      </c>
    </row>
    <row r="74" spans="2:10" x14ac:dyDescent="0.35">
      <c r="B74" s="100" t="s">
        <v>64</v>
      </c>
      <c r="C74" s="100" t="s">
        <v>186</v>
      </c>
      <c r="D74" s="100" t="s">
        <v>10</v>
      </c>
      <c r="E74" s="100" t="s">
        <v>192</v>
      </c>
      <c r="F74" s="102" t="s">
        <v>757</v>
      </c>
    </row>
    <row r="75" spans="2:10" x14ac:dyDescent="0.35">
      <c r="B75" s="100" t="s">
        <v>64</v>
      </c>
      <c r="C75" s="100" t="s">
        <v>188</v>
      </c>
      <c r="D75" s="100" t="s">
        <v>14</v>
      </c>
      <c r="E75" s="100" t="s">
        <v>192</v>
      </c>
      <c r="F75" s="102" t="s">
        <v>757</v>
      </c>
    </row>
    <row r="76" spans="2:10" x14ac:dyDescent="0.35">
      <c r="B76" s="100" t="s">
        <v>64</v>
      </c>
      <c r="C76" s="100" t="s">
        <v>190</v>
      </c>
      <c r="D76" s="100" t="s">
        <v>16</v>
      </c>
      <c r="E76" s="100" t="s">
        <v>192</v>
      </c>
      <c r="F76" s="102" t="s">
        <v>757</v>
      </c>
    </row>
    <row r="77" spans="2:10" x14ac:dyDescent="0.35">
      <c r="B77" s="100" t="s">
        <v>64</v>
      </c>
      <c r="C77" s="100" t="s">
        <v>213</v>
      </c>
      <c r="D77" s="100" t="s">
        <v>16</v>
      </c>
      <c r="E77" s="101"/>
      <c r="F77" s="102" t="s">
        <v>758</v>
      </c>
    </row>
    <row r="78" spans="2:10" x14ac:dyDescent="0.35">
      <c r="B78" s="100" t="s">
        <v>64</v>
      </c>
      <c r="C78" s="100" t="s">
        <v>214</v>
      </c>
      <c r="D78" s="100" t="s">
        <v>10</v>
      </c>
      <c r="E78" s="101"/>
      <c r="F78" s="102" t="s">
        <v>758</v>
      </c>
    </row>
    <row r="79" spans="2:10" x14ac:dyDescent="0.35">
      <c r="B79" s="100" t="s">
        <v>64</v>
      </c>
      <c r="C79" s="100" t="s">
        <v>215</v>
      </c>
      <c r="D79" s="100" t="s">
        <v>14</v>
      </c>
      <c r="E79" s="101"/>
      <c r="F79" s="102" t="s">
        <v>758</v>
      </c>
    </row>
    <row r="80" spans="2:10" x14ac:dyDescent="0.35">
      <c r="B80" s="100" t="s">
        <v>64</v>
      </c>
      <c r="C80" s="100" t="s">
        <v>216</v>
      </c>
      <c r="D80" s="100" t="s">
        <v>217</v>
      </c>
      <c r="E80" s="101"/>
      <c r="F80" s="102" t="s">
        <v>758</v>
      </c>
    </row>
    <row r="81" spans="2:6" x14ac:dyDescent="0.35">
      <c r="B81" s="100" t="s">
        <v>64</v>
      </c>
      <c r="C81" s="100" t="s">
        <v>219</v>
      </c>
      <c r="D81" s="100" t="s">
        <v>220</v>
      </c>
      <c r="E81" s="101"/>
      <c r="F81" s="102" t="s">
        <v>758</v>
      </c>
    </row>
    <row r="82" spans="2:6" x14ac:dyDescent="0.35">
      <c r="B82" s="100" t="s">
        <v>64</v>
      </c>
      <c r="C82" s="100" t="s">
        <v>222</v>
      </c>
      <c r="D82" s="100" t="s">
        <v>65</v>
      </c>
      <c r="E82" s="101"/>
      <c r="F82" s="102" t="s">
        <v>758</v>
      </c>
    </row>
    <row r="83" spans="2:6" x14ac:dyDescent="0.35">
      <c r="B83" s="100" t="s">
        <v>64</v>
      </c>
      <c r="C83" s="100" t="s">
        <v>223</v>
      </c>
      <c r="D83" s="100" t="s">
        <v>27</v>
      </c>
      <c r="E83" s="101"/>
      <c r="F83" s="102" t="s">
        <v>758</v>
      </c>
    </row>
    <row r="84" spans="2:6" x14ac:dyDescent="0.35">
      <c r="B84" s="100" t="s">
        <v>64</v>
      </c>
      <c r="C84" s="100" t="s">
        <v>224</v>
      </c>
      <c r="D84" s="100" t="s">
        <v>10</v>
      </c>
      <c r="E84" s="101"/>
      <c r="F84" s="102" t="s">
        <v>758</v>
      </c>
    </row>
    <row r="85" spans="2:6" x14ac:dyDescent="0.35">
      <c r="B85" s="103" t="s">
        <v>64</v>
      </c>
      <c r="C85" s="101" t="s">
        <v>225</v>
      </c>
      <c r="D85" s="103" t="s">
        <v>10</v>
      </c>
      <c r="E85" s="101"/>
      <c r="F85" s="102" t="s">
        <v>758</v>
      </c>
    </row>
    <row r="86" spans="2:6" x14ac:dyDescent="0.35">
      <c r="B86" s="103" t="s">
        <v>64</v>
      </c>
      <c r="C86" s="101" t="s">
        <v>226</v>
      </c>
      <c r="D86" s="103" t="s">
        <v>14</v>
      </c>
      <c r="E86" s="101"/>
      <c r="F86" s="102" t="s">
        <v>758</v>
      </c>
    </row>
    <row r="87" spans="2:6" x14ac:dyDescent="0.35">
      <c r="B87" s="103" t="s">
        <v>64</v>
      </c>
      <c r="C87" s="105" t="s">
        <v>227</v>
      </c>
      <c r="D87" s="103" t="s">
        <v>16</v>
      </c>
      <c r="E87" s="101"/>
      <c r="F87" s="102" t="s">
        <v>758</v>
      </c>
    </row>
    <row r="88" spans="2:6" x14ac:dyDescent="0.35">
      <c r="B88" s="103" t="s">
        <v>64</v>
      </c>
      <c r="C88" s="103" t="s">
        <v>228</v>
      </c>
      <c r="D88" s="103" t="s">
        <v>14</v>
      </c>
      <c r="E88" s="101"/>
      <c r="F88" s="102" t="s">
        <v>758</v>
      </c>
    </row>
    <row r="89" spans="2:6" x14ac:dyDescent="0.35">
      <c r="B89" s="103" t="s">
        <v>64</v>
      </c>
      <c r="C89" s="103" t="s">
        <v>230</v>
      </c>
      <c r="D89" s="103" t="s">
        <v>25</v>
      </c>
      <c r="E89" s="101"/>
      <c r="F89" s="102" t="s">
        <v>758</v>
      </c>
    </row>
    <row r="90" spans="2:6" x14ac:dyDescent="0.35">
      <c r="B90" s="103" t="s">
        <v>64</v>
      </c>
      <c r="C90" s="101" t="s">
        <v>232</v>
      </c>
      <c r="D90" s="103" t="s">
        <v>10</v>
      </c>
      <c r="E90" s="101"/>
      <c r="F90" s="102" t="s">
        <v>758</v>
      </c>
    </row>
    <row r="91" spans="2:6" x14ac:dyDescent="0.35">
      <c r="B91" s="100" t="s">
        <v>64</v>
      </c>
      <c r="C91" s="100" t="s">
        <v>234</v>
      </c>
      <c r="D91" s="100" t="s">
        <v>235</v>
      </c>
      <c r="E91" s="101"/>
      <c r="F91" s="102" t="s">
        <v>758</v>
      </c>
    </row>
    <row r="92" spans="2:6" x14ac:dyDescent="0.35">
      <c r="B92" s="106" t="s">
        <v>64</v>
      </c>
      <c r="C92" s="106" t="s">
        <v>63</v>
      </c>
      <c r="D92" s="107" t="s">
        <v>65</v>
      </c>
      <c r="E92" s="107"/>
      <c r="F92" s="102" t="s">
        <v>758</v>
      </c>
    </row>
    <row r="93" spans="2:6" x14ac:dyDescent="0.35">
      <c r="B93" s="106" t="s">
        <v>64</v>
      </c>
      <c r="C93" s="106" t="s">
        <v>66</v>
      </c>
      <c r="D93" s="107" t="s">
        <v>65</v>
      </c>
      <c r="E93" s="107"/>
      <c r="F93" s="102" t="s">
        <v>758</v>
      </c>
    </row>
    <row r="94" spans="2:6" x14ac:dyDescent="0.35">
      <c r="B94" s="106" t="s">
        <v>64</v>
      </c>
      <c r="C94" s="106" t="s">
        <v>67</v>
      </c>
      <c r="D94" s="107" t="s">
        <v>68</v>
      </c>
      <c r="E94" s="107"/>
      <c r="F94" s="102" t="s">
        <v>758</v>
      </c>
    </row>
    <row r="95" spans="2:6" x14ac:dyDescent="0.35">
      <c r="B95" s="106" t="s">
        <v>64</v>
      </c>
      <c r="C95" s="106" t="s">
        <v>69</v>
      </c>
      <c r="D95" s="107" t="s">
        <v>70</v>
      </c>
      <c r="E95" s="107"/>
      <c r="F95" s="102" t="s">
        <v>758</v>
      </c>
    </row>
    <row r="96" spans="2:6" x14ac:dyDescent="0.35">
      <c r="B96" s="92" t="s">
        <v>72</v>
      </c>
      <c r="C96" s="92" t="s">
        <v>237</v>
      </c>
      <c r="D96" s="92" t="s">
        <v>10</v>
      </c>
      <c r="E96" s="92" t="s">
        <v>4</v>
      </c>
      <c r="F96" s="69" t="s">
        <v>757</v>
      </c>
    </row>
    <row r="97" spans="2:6" x14ac:dyDescent="0.35">
      <c r="B97" s="92" t="s">
        <v>72</v>
      </c>
      <c r="C97" s="92" t="s">
        <v>239</v>
      </c>
      <c r="D97" s="92" t="s">
        <v>14</v>
      </c>
      <c r="E97" s="92" t="s">
        <v>4</v>
      </c>
      <c r="F97" s="69" t="s">
        <v>757</v>
      </c>
    </row>
    <row r="98" spans="2:6" x14ac:dyDescent="0.35">
      <c r="B98" s="92" t="s">
        <v>72</v>
      </c>
      <c r="C98" s="92" t="s">
        <v>241</v>
      </c>
      <c r="D98" s="92" t="s">
        <v>16</v>
      </c>
      <c r="E98" s="92" t="s">
        <v>4</v>
      </c>
      <c r="F98" s="69" t="s">
        <v>757</v>
      </c>
    </row>
    <row r="99" spans="2:6" x14ac:dyDescent="0.35">
      <c r="B99" s="92" t="s">
        <v>72</v>
      </c>
      <c r="C99" s="92" t="s">
        <v>203</v>
      </c>
      <c r="D99" s="92" t="s">
        <v>10</v>
      </c>
      <c r="E99" s="92" t="s">
        <v>192</v>
      </c>
      <c r="F99" s="69" t="s">
        <v>757</v>
      </c>
    </row>
    <row r="100" spans="2:6" x14ac:dyDescent="0.35">
      <c r="B100" s="92" t="s">
        <v>72</v>
      </c>
      <c r="C100" s="92" t="s">
        <v>205</v>
      </c>
      <c r="D100" s="92" t="s">
        <v>14</v>
      </c>
      <c r="E100" s="92" t="s">
        <v>192</v>
      </c>
      <c r="F100" s="69" t="s">
        <v>757</v>
      </c>
    </row>
    <row r="101" spans="2:6" x14ac:dyDescent="0.35">
      <c r="B101" s="92" t="s">
        <v>72</v>
      </c>
      <c r="C101" s="92" t="s">
        <v>207</v>
      </c>
      <c r="D101" s="92" t="s">
        <v>16</v>
      </c>
      <c r="E101" s="92" t="s">
        <v>192</v>
      </c>
      <c r="F101" s="69" t="s">
        <v>757</v>
      </c>
    </row>
    <row r="102" spans="2:6" x14ac:dyDescent="0.35">
      <c r="B102" s="92" t="s">
        <v>72</v>
      </c>
      <c r="C102" s="92" t="s">
        <v>243</v>
      </c>
      <c r="D102" s="92" t="s">
        <v>220</v>
      </c>
      <c r="E102" s="93"/>
      <c r="F102" s="69" t="s">
        <v>758</v>
      </c>
    </row>
    <row r="103" spans="2:6" x14ac:dyDescent="0.35">
      <c r="B103" s="92" t="s">
        <v>72</v>
      </c>
      <c r="C103" s="92" t="s">
        <v>245</v>
      </c>
      <c r="D103" s="92" t="s">
        <v>33</v>
      </c>
      <c r="E103" s="93"/>
      <c r="F103" s="69" t="s">
        <v>758</v>
      </c>
    </row>
    <row r="104" spans="2:6" x14ac:dyDescent="0.35">
      <c r="B104" s="92" t="s">
        <v>72</v>
      </c>
      <c r="C104" s="92" t="s">
        <v>247</v>
      </c>
      <c r="D104" s="92" t="s">
        <v>33</v>
      </c>
      <c r="E104" s="93"/>
      <c r="F104" s="69" t="s">
        <v>758</v>
      </c>
    </row>
    <row r="105" spans="2:6" x14ac:dyDescent="0.35">
      <c r="B105" s="92" t="s">
        <v>72</v>
      </c>
      <c r="C105" s="92" t="s">
        <v>249</v>
      </c>
      <c r="D105" s="92" t="s">
        <v>27</v>
      </c>
      <c r="E105" s="93"/>
      <c r="F105" s="69" t="s">
        <v>758</v>
      </c>
    </row>
    <row r="106" spans="2:6" x14ac:dyDescent="0.35">
      <c r="B106" s="92" t="s">
        <v>72</v>
      </c>
      <c r="C106" s="92" t="s">
        <v>251</v>
      </c>
      <c r="D106" s="92" t="s">
        <v>235</v>
      </c>
      <c r="E106" s="93"/>
      <c r="F106" s="69" t="s">
        <v>758</v>
      </c>
    </row>
    <row r="107" spans="2:6" x14ac:dyDescent="0.35">
      <c r="B107" s="92" t="s">
        <v>72</v>
      </c>
      <c r="C107" s="95" t="s">
        <v>253</v>
      </c>
      <c r="D107" s="92" t="s">
        <v>14</v>
      </c>
      <c r="E107" s="93"/>
      <c r="F107" s="69" t="s">
        <v>758</v>
      </c>
    </row>
    <row r="108" spans="2:6" x14ac:dyDescent="0.35">
      <c r="B108" s="92" t="s">
        <v>72</v>
      </c>
      <c r="C108" s="95" t="s">
        <v>255</v>
      </c>
      <c r="D108" s="92" t="s">
        <v>10</v>
      </c>
      <c r="E108" s="93"/>
      <c r="F108" s="69" t="s">
        <v>758</v>
      </c>
    </row>
    <row r="109" spans="2:6" x14ac:dyDescent="0.35">
      <c r="B109" s="92" t="s">
        <v>72</v>
      </c>
      <c r="C109" s="95" t="s">
        <v>256</v>
      </c>
      <c r="D109" s="92" t="s">
        <v>14</v>
      </c>
      <c r="E109" s="93"/>
      <c r="F109" s="69" t="s">
        <v>758</v>
      </c>
    </row>
    <row r="110" spans="2:6" x14ac:dyDescent="0.35">
      <c r="B110" s="92" t="s">
        <v>72</v>
      </c>
      <c r="C110" s="95" t="s">
        <v>257</v>
      </c>
      <c r="D110" s="92" t="s">
        <v>16</v>
      </c>
      <c r="E110" s="93"/>
      <c r="F110" s="69" t="s">
        <v>758</v>
      </c>
    </row>
    <row r="111" spans="2:6" x14ac:dyDescent="0.35">
      <c r="B111" s="92" t="s">
        <v>72</v>
      </c>
      <c r="C111" s="92" t="s">
        <v>258</v>
      </c>
      <c r="D111" s="92" t="s">
        <v>25</v>
      </c>
      <c r="E111" s="93"/>
      <c r="F111" s="69" t="s">
        <v>758</v>
      </c>
    </row>
    <row r="112" spans="2:6" x14ac:dyDescent="0.35">
      <c r="B112" s="92" t="s">
        <v>72</v>
      </c>
      <c r="C112" s="92" t="s">
        <v>260</v>
      </c>
      <c r="D112" s="92" t="s">
        <v>65</v>
      </c>
      <c r="E112" s="93"/>
      <c r="F112" s="69" t="s">
        <v>758</v>
      </c>
    </row>
    <row r="113" spans="2:6" x14ac:dyDescent="0.35">
      <c r="B113" s="92" t="s">
        <v>72</v>
      </c>
      <c r="C113" s="92" t="s">
        <v>261</v>
      </c>
      <c r="D113" s="92" t="s">
        <v>27</v>
      </c>
      <c r="E113" s="93"/>
      <c r="F113" s="69" t="s">
        <v>758</v>
      </c>
    </row>
    <row r="114" spans="2:6" x14ac:dyDescent="0.35">
      <c r="B114" s="92" t="s">
        <v>72</v>
      </c>
      <c r="C114" s="92" t="s">
        <v>262</v>
      </c>
      <c r="D114" s="92" t="s">
        <v>65</v>
      </c>
      <c r="E114" s="93"/>
      <c r="F114" s="69" t="s">
        <v>758</v>
      </c>
    </row>
    <row r="115" spans="2:6" x14ac:dyDescent="0.35">
      <c r="B115" s="92" t="s">
        <v>72</v>
      </c>
      <c r="C115" s="92" t="s">
        <v>263</v>
      </c>
      <c r="D115" s="92" t="s">
        <v>10</v>
      </c>
      <c r="E115" s="93"/>
      <c r="F115" s="69" t="s">
        <v>758</v>
      </c>
    </row>
    <row r="116" spans="2:6" x14ac:dyDescent="0.35">
      <c r="B116" s="92" t="s">
        <v>72</v>
      </c>
      <c r="C116" s="92" t="s">
        <v>264</v>
      </c>
      <c r="D116" s="92" t="s">
        <v>217</v>
      </c>
      <c r="E116" s="93"/>
      <c r="F116" s="69" t="s">
        <v>758</v>
      </c>
    </row>
    <row r="117" spans="2:6" x14ac:dyDescent="0.35">
      <c r="B117" s="92" t="s">
        <v>72</v>
      </c>
      <c r="C117" s="92" t="s">
        <v>266</v>
      </c>
      <c r="D117" s="92" t="s">
        <v>68</v>
      </c>
      <c r="E117" s="93"/>
      <c r="F117" s="69" t="s">
        <v>758</v>
      </c>
    </row>
    <row r="118" spans="2:6" x14ac:dyDescent="0.35">
      <c r="B118" s="92" t="s">
        <v>72</v>
      </c>
      <c r="C118" s="92" t="s">
        <v>267</v>
      </c>
      <c r="D118" s="91" t="s">
        <v>14</v>
      </c>
      <c r="E118" s="93"/>
      <c r="F118" s="69" t="s">
        <v>758</v>
      </c>
    </row>
    <row r="119" spans="2:6" x14ac:dyDescent="0.35">
      <c r="B119" s="92" t="s">
        <v>72</v>
      </c>
      <c r="C119" s="92" t="s">
        <v>269</v>
      </c>
      <c r="D119" s="92" t="s">
        <v>10</v>
      </c>
      <c r="E119" s="93"/>
      <c r="F119" s="69" t="s">
        <v>758</v>
      </c>
    </row>
    <row r="120" spans="2:6" x14ac:dyDescent="0.35">
      <c r="B120" s="92" t="s">
        <v>72</v>
      </c>
      <c r="C120" s="92" t="s">
        <v>270</v>
      </c>
      <c r="D120" s="92" t="s">
        <v>14</v>
      </c>
      <c r="E120" s="93"/>
      <c r="F120" s="69" t="s">
        <v>758</v>
      </c>
    </row>
    <row r="121" spans="2:6" x14ac:dyDescent="0.35">
      <c r="B121" s="92" t="s">
        <v>72</v>
      </c>
      <c r="C121" s="92" t="s">
        <v>271</v>
      </c>
      <c r="D121" s="92" t="s">
        <v>16</v>
      </c>
      <c r="E121" s="93"/>
      <c r="F121" s="69" t="s">
        <v>758</v>
      </c>
    </row>
    <row r="122" spans="2:6" x14ac:dyDescent="0.35">
      <c r="B122" s="92" t="s">
        <v>72</v>
      </c>
      <c r="C122" s="92" t="s">
        <v>272</v>
      </c>
      <c r="D122" s="92" t="s">
        <v>10</v>
      </c>
      <c r="E122" s="93"/>
      <c r="F122" s="69" t="s">
        <v>758</v>
      </c>
    </row>
    <row r="123" spans="2:6" x14ac:dyDescent="0.35">
      <c r="B123" s="91" t="s">
        <v>72</v>
      </c>
      <c r="C123" s="91" t="s">
        <v>71</v>
      </c>
      <c r="D123" s="97" t="s">
        <v>70</v>
      </c>
      <c r="E123" s="97"/>
      <c r="F123" s="69" t="s">
        <v>758</v>
      </c>
    </row>
    <row r="124" spans="2:6" x14ac:dyDescent="0.35">
      <c r="B124" s="91" t="s">
        <v>72</v>
      </c>
      <c r="C124" s="91" t="s">
        <v>73</v>
      </c>
      <c r="D124" s="97" t="s">
        <v>65</v>
      </c>
      <c r="E124" s="97"/>
      <c r="F124" s="69" t="s">
        <v>758</v>
      </c>
    </row>
    <row r="125" spans="2:6" x14ac:dyDescent="0.35">
      <c r="B125" s="91" t="s">
        <v>72</v>
      </c>
      <c r="C125" s="91" t="s">
        <v>74</v>
      </c>
      <c r="D125" s="97" t="s">
        <v>65</v>
      </c>
      <c r="E125" s="97"/>
      <c r="F125" s="69" t="s">
        <v>758</v>
      </c>
    </row>
    <row r="126" spans="2:6" x14ac:dyDescent="0.35">
      <c r="B126" s="100" t="s">
        <v>76</v>
      </c>
      <c r="C126" s="100" t="s">
        <v>274</v>
      </c>
      <c r="D126" s="100" t="s">
        <v>16</v>
      </c>
      <c r="E126" s="100" t="s">
        <v>4</v>
      </c>
      <c r="F126" s="102" t="s">
        <v>757</v>
      </c>
    </row>
    <row r="127" spans="2:6" x14ac:dyDescent="0.35">
      <c r="B127" s="100" t="s">
        <v>76</v>
      </c>
      <c r="C127" s="100" t="s">
        <v>276</v>
      </c>
      <c r="D127" s="100" t="s">
        <v>18</v>
      </c>
      <c r="E127" s="100" t="s">
        <v>4</v>
      </c>
      <c r="F127" s="102" t="s">
        <v>757</v>
      </c>
    </row>
    <row r="128" spans="2:6" x14ac:dyDescent="0.35">
      <c r="B128" s="100" t="s">
        <v>76</v>
      </c>
      <c r="C128" s="100" t="s">
        <v>278</v>
      </c>
      <c r="D128" s="100" t="s">
        <v>279</v>
      </c>
      <c r="E128" s="100" t="s">
        <v>4</v>
      </c>
      <c r="F128" s="102" t="s">
        <v>757</v>
      </c>
    </row>
    <row r="129" spans="2:6" x14ac:dyDescent="0.35">
      <c r="B129" s="100" t="s">
        <v>76</v>
      </c>
      <c r="C129" s="108" t="s">
        <v>281</v>
      </c>
      <c r="D129" s="100" t="s">
        <v>217</v>
      </c>
      <c r="E129" s="101"/>
      <c r="F129" s="102" t="s">
        <v>758</v>
      </c>
    </row>
    <row r="130" spans="2:6" x14ac:dyDescent="0.35">
      <c r="B130" s="100" t="s">
        <v>76</v>
      </c>
      <c r="C130" s="108" t="s">
        <v>284</v>
      </c>
      <c r="D130" s="100" t="s">
        <v>217</v>
      </c>
      <c r="E130" s="101"/>
      <c r="F130" s="102" t="s">
        <v>758</v>
      </c>
    </row>
    <row r="131" spans="2:6" x14ac:dyDescent="0.35">
      <c r="B131" s="100" t="s">
        <v>76</v>
      </c>
      <c r="C131" s="100" t="s">
        <v>287</v>
      </c>
      <c r="D131" s="100" t="s">
        <v>217</v>
      </c>
      <c r="E131" s="101"/>
      <c r="F131" s="102" t="s">
        <v>758</v>
      </c>
    </row>
    <row r="132" spans="2:6" x14ac:dyDescent="0.35">
      <c r="B132" s="100" t="s">
        <v>76</v>
      </c>
      <c r="C132" s="100" t="s">
        <v>241</v>
      </c>
      <c r="D132" s="100" t="s">
        <v>16</v>
      </c>
      <c r="E132" s="101"/>
      <c r="F132" s="102" t="s">
        <v>758</v>
      </c>
    </row>
    <row r="133" spans="2:6" x14ac:dyDescent="0.35">
      <c r="B133" s="100" t="s">
        <v>76</v>
      </c>
      <c r="C133" s="100" t="s">
        <v>237</v>
      </c>
      <c r="D133" s="100" t="s">
        <v>10</v>
      </c>
      <c r="E133" s="101"/>
      <c r="F133" s="102" t="s">
        <v>758</v>
      </c>
    </row>
    <row r="134" spans="2:6" x14ac:dyDescent="0.35">
      <c r="B134" s="100" t="s">
        <v>76</v>
      </c>
      <c r="C134" s="100" t="s">
        <v>239</v>
      </c>
      <c r="D134" s="100" t="s">
        <v>14</v>
      </c>
      <c r="E134" s="101"/>
      <c r="F134" s="102" t="s">
        <v>758</v>
      </c>
    </row>
    <row r="135" spans="2:6" x14ac:dyDescent="0.35">
      <c r="B135" s="100" t="s">
        <v>76</v>
      </c>
      <c r="C135" s="100" t="s">
        <v>290</v>
      </c>
      <c r="D135" s="100" t="s">
        <v>16</v>
      </c>
      <c r="E135" s="101"/>
      <c r="F135" s="102" t="s">
        <v>758</v>
      </c>
    </row>
    <row r="136" spans="2:6" x14ac:dyDescent="0.35">
      <c r="B136" s="100" t="s">
        <v>76</v>
      </c>
      <c r="C136" s="100" t="s">
        <v>291</v>
      </c>
      <c r="D136" s="100" t="s">
        <v>18</v>
      </c>
      <c r="E136" s="101"/>
      <c r="F136" s="102" t="s">
        <v>758</v>
      </c>
    </row>
    <row r="137" spans="2:6" x14ac:dyDescent="0.35">
      <c r="B137" s="100" t="s">
        <v>76</v>
      </c>
      <c r="C137" s="100" t="s">
        <v>292</v>
      </c>
      <c r="D137" s="100" t="s">
        <v>279</v>
      </c>
      <c r="E137" s="101"/>
      <c r="F137" s="102" t="s">
        <v>758</v>
      </c>
    </row>
    <row r="138" spans="2:6" x14ac:dyDescent="0.35">
      <c r="B138" s="100" t="s">
        <v>76</v>
      </c>
      <c r="C138" s="100" t="s">
        <v>293</v>
      </c>
      <c r="D138" s="100" t="s">
        <v>18</v>
      </c>
      <c r="E138" s="101"/>
      <c r="F138" s="102" t="s">
        <v>758</v>
      </c>
    </row>
    <row r="139" spans="2:6" x14ac:dyDescent="0.35">
      <c r="B139" s="100" t="s">
        <v>76</v>
      </c>
      <c r="C139" s="100" t="s">
        <v>294</v>
      </c>
      <c r="D139" s="100" t="s">
        <v>279</v>
      </c>
      <c r="E139" s="101"/>
      <c r="F139" s="102" t="s">
        <v>758</v>
      </c>
    </row>
    <row r="140" spans="2:6" x14ac:dyDescent="0.35">
      <c r="B140" s="100" t="s">
        <v>76</v>
      </c>
      <c r="C140" s="100" t="s">
        <v>295</v>
      </c>
      <c r="D140" s="100" t="s">
        <v>16</v>
      </c>
      <c r="E140" s="101"/>
      <c r="F140" s="102" t="s">
        <v>758</v>
      </c>
    </row>
    <row r="141" spans="2:6" x14ac:dyDescent="0.35">
      <c r="B141" s="100" t="s">
        <v>76</v>
      </c>
      <c r="C141" s="100" t="s">
        <v>296</v>
      </c>
      <c r="D141" s="100" t="s">
        <v>10</v>
      </c>
      <c r="E141" s="101"/>
      <c r="F141" s="102" t="s">
        <v>758</v>
      </c>
    </row>
    <row r="142" spans="2:6" x14ac:dyDescent="0.35">
      <c r="B142" s="100" t="s">
        <v>76</v>
      </c>
      <c r="C142" s="100" t="s">
        <v>297</v>
      </c>
      <c r="D142" s="100" t="s">
        <v>10</v>
      </c>
      <c r="E142" s="101"/>
      <c r="F142" s="102" t="s">
        <v>758</v>
      </c>
    </row>
    <row r="143" spans="2:6" x14ac:dyDescent="0.35">
      <c r="B143" s="100" t="s">
        <v>76</v>
      </c>
      <c r="C143" s="100" t="s">
        <v>75</v>
      </c>
      <c r="D143" s="100" t="s">
        <v>70</v>
      </c>
      <c r="E143" s="100"/>
      <c r="F143" s="102" t="s">
        <v>758</v>
      </c>
    </row>
    <row r="144" spans="2:6" x14ac:dyDescent="0.35">
      <c r="B144" s="92" t="s">
        <v>299</v>
      </c>
      <c r="C144" s="92" t="s">
        <v>298</v>
      </c>
      <c r="D144" s="92" t="s">
        <v>16</v>
      </c>
      <c r="E144" s="92" t="s">
        <v>4</v>
      </c>
      <c r="F144" s="69" t="s">
        <v>757</v>
      </c>
    </row>
    <row r="145" spans="2:6" x14ac:dyDescent="0.35">
      <c r="B145" s="92" t="s">
        <v>299</v>
      </c>
      <c r="C145" s="92" t="s">
        <v>301</v>
      </c>
      <c r="D145" s="92" t="s">
        <v>302</v>
      </c>
      <c r="E145" s="92" t="s">
        <v>4</v>
      </c>
      <c r="F145" s="69" t="s">
        <v>757</v>
      </c>
    </row>
    <row r="146" spans="2:6" x14ac:dyDescent="0.35">
      <c r="B146" s="92" t="s">
        <v>299</v>
      </c>
      <c r="C146" s="92" t="s">
        <v>304</v>
      </c>
      <c r="D146" s="92" t="s">
        <v>14</v>
      </c>
      <c r="E146" s="92" t="s">
        <v>4</v>
      </c>
      <c r="F146" s="69" t="s">
        <v>757</v>
      </c>
    </row>
    <row r="147" spans="2:6" x14ac:dyDescent="0.35">
      <c r="B147" s="92" t="s">
        <v>299</v>
      </c>
      <c r="C147" s="92" t="s">
        <v>306</v>
      </c>
      <c r="D147" s="92" t="s">
        <v>220</v>
      </c>
      <c r="E147" s="93"/>
      <c r="F147" s="69" t="s">
        <v>758</v>
      </c>
    </row>
    <row r="148" spans="2:6" x14ac:dyDescent="0.35">
      <c r="B148" s="92" t="s">
        <v>299</v>
      </c>
      <c r="C148" s="92" t="s">
        <v>308</v>
      </c>
      <c r="D148" s="92" t="s">
        <v>33</v>
      </c>
      <c r="E148" s="93"/>
      <c r="F148" s="69" t="s">
        <v>758</v>
      </c>
    </row>
    <row r="149" spans="2:6" x14ac:dyDescent="0.35">
      <c r="B149" s="92" t="s">
        <v>299</v>
      </c>
      <c r="C149" s="92" t="s">
        <v>310</v>
      </c>
      <c r="D149" s="92" t="s">
        <v>33</v>
      </c>
      <c r="E149" s="93"/>
      <c r="F149" s="69" t="s">
        <v>758</v>
      </c>
    </row>
    <row r="150" spans="2:6" x14ac:dyDescent="0.35">
      <c r="B150" s="92" t="s">
        <v>299</v>
      </c>
      <c r="C150" s="92" t="s">
        <v>312</v>
      </c>
      <c r="D150" s="92" t="s">
        <v>302</v>
      </c>
      <c r="E150" s="93"/>
      <c r="F150" s="69" t="s">
        <v>758</v>
      </c>
    </row>
    <row r="151" spans="2:6" x14ac:dyDescent="0.35">
      <c r="B151" s="92" t="s">
        <v>299</v>
      </c>
      <c r="C151" s="92" t="s">
        <v>313</v>
      </c>
      <c r="D151" s="92" t="s">
        <v>14</v>
      </c>
      <c r="E151" s="93"/>
      <c r="F151" s="69" t="s">
        <v>758</v>
      </c>
    </row>
    <row r="152" spans="2:6" x14ac:dyDescent="0.35">
      <c r="B152" s="92" t="s">
        <v>299</v>
      </c>
      <c r="C152" s="92" t="s">
        <v>314</v>
      </c>
      <c r="D152" s="92" t="s">
        <v>16</v>
      </c>
      <c r="E152" s="93"/>
      <c r="F152" s="69" t="s">
        <v>758</v>
      </c>
    </row>
    <row r="153" spans="2:6" x14ac:dyDescent="0.35">
      <c r="B153" s="92" t="s">
        <v>299</v>
      </c>
      <c r="C153" s="92" t="s">
        <v>315</v>
      </c>
      <c r="D153" s="92" t="s">
        <v>302</v>
      </c>
      <c r="E153" s="93"/>
      <c r="F153" s="69" t="s">
        <v>758</v>
      </c>
    </row>
    <row r="154" spans="2:6" x14ac:dyDescent="0.35">
      <c r="B154" s="92" t="s">
        <v>299</v>
      </c>
      <c r="C154" s="92" t="s">
        <v>316</v>
      </c>
      <c r="D154" s="92" t="s">
        <v>14</v>
      </c>
      <c r="E154" s="93"/>
      <c r="F154" s="69" t="s">
        <v>758</v>
      </c>
    </row>
    <row r="155" spans="2:6" x14ac:dyDescent="0.35">
      <c r="B155" s="92" t="s">
        <v>299</v>
      </c>
      <c r="C155" s="92" t="s">
        <v>317</v>
      </c>
      <c r="D155" s="92" t="s">
        <v>16</v>
      </c>
      <c r="E155" s="93"/>
      <c r="F155" s="69" t="s">
        <v>758</v>
      </c>
    </row>
    <row r="156" spans="2:6" x14ac:dyDescent="0.35">
      <c r="B156" s="92" t="s">
        <v>319</v>
      </c>
      <c r="C156" s="92" t="s">
        <v>318</v>
      </c>
      <c r="D156" s="92" t="s">
        <v>16</v>
      </c>
      <c r="E156" s="92" t="s">
        <v>4</v>
      </c>
      <c r="F156" s="69" t="s">
        <v>757</v>
      </c>
    </row>
    <row r="157" spans="2:6" x14ac:dyDescent="0.35">
      <c r="B157" s="100" t="s">
        <v>319</v>
      </c>
      <c r="C157" s="100" t="s">
        <v>321</v>
      </c>
      <c r="D157" s="100" t="s">
        <v>302</v>
      </c>
      <c r="E157" s="100" t="s">
        <v>4</v>
      </c>
      <c r="F157" s="102" t="s">
        <v>757</v>
      </c>
    </row>
    <row r="158" spans="2:6" x14ac:dyDescent="0.35">
      <c r="B158" s="100" t="s">
        <v>319</v>
      </c>
      <c r="C158" s="100" t="s">
        <v>323</v>
      </c>
      <c r="D158" s="100" t="s">
        <v>14</v>
      </c>
      <c r="E158" s="100" t="s">
        <v>4</v>
      </c>
      <c r="F158" s="102" t="s">
        <v>757</v>
      </c>
    </row>
    <row r="159" spans="2:6" x14ac:dyDescent="0.35">
      <c r="B159" s="100" t="s">
        <v>319</v>
      </c>
      <c r="C159" s="100" t="s">
        <v>325</v>
      </c>
      <c r="D159" s="100" t="s">
        <v>16</v>
      </c>
      <c r="E159" s="101"/>
      <c r="F159" s="102" t="s">
        <v>758</v>
      </c>
    </row>
    <row r="160" spans="2:6" x14ac:dyDescent="0.35">
      <c r="B160" s="100" t="s">
        <v>319</v>
      </c>
      <c r="C160" s="100" t="s">
        <v>326</v>
      </c>
      <c r="D160" s="100" t="s">
        <v>302</v>
      </c>
      <c r="E160" s="101"/>
      <c r="F160" s="102" t="s">
        <v>758</v>
      </c>
    </row>
    <row r="161" spans="2:6" x14ac:dyDescent="0.35">
      <c r="B161" s="100" t="s">
        <v>319</v>
      </c>
      <c r="C161" s="100" t="s">
        <v>327</v>
      </c>
      <c r="D161" s="100" t="s">
        <v>14</v>
      </c>
      <c r="E161" s="101"/>
      <c r="F161" s="102" t="s">
        <v>758</v>
      </c>
    </row>
    <row r="162" spans="2:6" x14ac:dyDescent="0.35">
      <c r="B162" s="100" t="s">
        <v>319</v>
      </c>
      <c r="C162" s="100" t="s">
        <v>328</v>
      </c>
      <c r="D162" s="100" t="s">
        <v>68</v>
      </c>
      <c r="E162" s="101"/>
      <c r="F162" s="102" t="s">
        <v>758</v>
      </c>
    </row>
    <row r="163" spans="2:6" x14ac:dyDescent="0.35">
      <c r="B163" s="100" t="s">
        <v>319</v>
      </c>
      <c r="C163" s="100" t="s">
        <v>330</v>
      </c>
      <c r="D163" s="100" t="s">
        <v>279</v>
      </c>
      <c r="E163" s="101"/>
      <c r="F163" s="102" t="s">
        <v>758</v>
      </c>
    </row>
    <row r="164" spans="2:6" x14ac:dyDescent="0.35">
      <c r="B164" s="103" t="s">
        <v>319</v>
      </c>
      <c r="C164" s="101" t="s">
        <v>332</v>
      </c>
      <c r="D164" s="103" t="s">
        <v>302</v>
      </c>
      <c r="E164" s="101"/>
      <c r="F164" s="102" t="s">
        <v>758</v>
      </c>
    </row>
    <row r="165" spans="2:6" x14ac:dyDescent="0.35">
      <c r="B165" s="103" t="s">
        <v>319</v>
      </c>
      <c r="C165" s="101" t="s">
        <v>333</v>
      </c>
      <c r="D165" s="103" t="s">
        <v>14</v>
      </c>
      <c r="E165" s="101"/>
      <c r="F165" s="102" t="s">
        <v>758</v>
      </c>
    </row>
    <row r="166" spans="2:6" x14ac:dyDescent="0.35">
      <c r="B166" s="103" t="s">
        <v>319</v>
      </c>
      <c r="C166" s="101" t="s">
        <v>334</v>
      </c>
      <c r="D166" s="103" t="s">
        <v>16</v>
      </c>
      <c r="E166" s="101"/>
      <c r="F166" s="102" t="s">
        <v>758</v>
      </c>
    </row>
    <row r="167" spans="2:6" x14ac:dyDescent="0.35">
      <c r="B167" s="92" t="s">
        <v>335</v>
      </c>
      <c r="C167" s="92" t="s">
        <v>318</v>
      </c>
      <c r="D167" s="92" t="s">
        <v>16</v>
      </c>
      <c r="E167" s="92" t="s">
        <v>4</v>
      </c>
      <c r="F167" s="69" t="s">
        <v>757</v>
      </c>
    </row>
    <row r="168" spans="2:6" x14ac:dyDescent="0.35">
      <c r="B168" s="92" t="s">
        <v>335</v>
      </c>
      <c r="C168" s="92" t="s">
        <v>321</v>
      </c>
      <c r="D168" s="92" t="s">
        <v>302</v>
      </c>
      <c r="E168" s="92" t="s">
        <v>4</v>
      </c>
      <c r="F168" s="69" t="s">
        <v>757</v>
      </c>
    </row>
    <row r="169" spans="2:6" x14ac:dyDescent="0.35">
      <c r="B169" s="92" t="s">
        <v>335</v>
      </c>
      <c r="C169" s="92" t="s">
        <v>323</v>
      </c>
      <c r="D169" s="92" t="s">
        <v>14</v>
      </c>
      <c r="E169" s="92" t="s">
        <v>4</v>
      </c>
      <c r="F169" s="69" t="s">
        <v>757</v>
      </c>
    </row>
    <row r="170" spans="2:6" x14ac:dyDescent="0.35">
      <c r="B170" s="96" t="s">
        <v>335</v>
      </c>
      <c r="C170" s="92" t="s">
        <v>336</v>
      </c>
      <c r="D170" s="92" t="s">
        <v>33</v>
      </c>
      <c r="E170" s="92" t="s">
        <v>4</v>
      </c>
      <c r="F170" s="69" t="s">
        <v>757</v>
      </c>
    </row>
    <row r="171" spans="2:6" x14ac:dyDescent="0.35">
      <c r="B171" s="96" t="s">
        <v>335</v>
      </c>
      <c r="C171" s="92" t="s">
        <v>338</v>
      </c>
      <c r="D171" s="92" t="s">
        <v>144</v>
      </c>
      <c r="E171" s="92" t="s">
        <v>4</v>
      </c>
      <c r="F171" s="69" t="s">
        <v>757</v>
      </c>
    </row>
    <row r="172" spans="2:6" x14ac:dyDescent="0.35">
      <c r="B172" s="96" t="s">
        <v>335</v>
      </c>
      <c r="C172" s="92" t="s">
        <v>341</v>
      </c>
      <c r="D172" s="92" t="s">
        <v>342</v>
      </c>
      <c r="E172" s="93"/>
      <c r="F172" s="69" t="s">
        <v>758</v>
      </c>
    </row>
    <row r="173" spans="2:6" x14ac:dyDescent="0.35">
      <c r="B173" s="96" t="s">
        <v>335</v>
      </c>
      <c r="C173" s="92" t="s">
        <v>344</v>
      </c>
      <c r="D173" s="92" t="s">
        <v>14</v>
      </c>
      <c r="E173" s="92" t="s">
        <v>4</v>
      </c>
      <c r="F173" s="69" t="s">
        <v>757</v>
      </c>
    </row>
    <row r="174" spans="2:6" x14ac:dyDescent="0.35">
      <c r="B174" s="92" t="s">
        <v>335</v>
      </c>
      <c r="C174" s="92" t="s">
        <v>346</v>
      </c>
      <c r="D174" s="92" t="s">
        <v>220</v>
      </c>
      <c r="E174" s="93"/>
      <c r="F174" s="69" t="s">
        <v>758</v>
      </c>
    </row>
    <row r="175" spans="2:6" x14ac:dyDescent="0.35">
      <c r="B175" s="100" t="s">
        <v>349</v>
      </c>
      <c r="C175" s="100" t="s">
        <v>348</v>
      </c>
      <c r="D175" s="100" t="s">
        <v>10</v>
      </c>
      <c r="E175" s="100" t="s">
        <v>4</v>
      </c>
      <c r="F175" s="102" t="s">
        <v>757</v>
      </c>
    </row>
    <row r="176" spans="2:6" x14ac:dyDescent="0.35">
      <c r="B176" s="100" t="s">
        <v>349</v>
      </c>
      <c r="C176" s="100" t="s">
        <v>351</v>
      </c>
      <c r="D176" s="100" t="s">
        <v>352</v>
      </c>
      <c r="E176" s="100" t="s">
        <v>4</v>
      </c>
      <c r="F176" s="102" t="s">
        <v>757</v>
      </c>
    </row>
    <row r="177" spans="2:6" x14ac:dyDescent="0.35">
      <c r="B177" s="100" t="s">
        <v>349</v>
      </c>
      <c r="C177" s="100" t="s">
        <v>354</v>
      </c>
      <c r="D177" s="100" t="s">
        <v>16</v>
      </c>
      <c r="E177" s="100" t="s">
        <v>4</v>
      </c>
      <c r="F177" s="102" t="s">
        <v>757</v>
      </c>
    </row>
    <row r="178" spans="2:6" x14ac:dyDescent="0.35">
      <c r="B178" s="100" t="s">
        <v>349</v>
      </c>
      <c r="C178" s="100" t="s">
        <v>356</v>
      </c>
      <c r="D178" s="100" t="s">
        <v>279</v>
      </c>
      <c r="E178" s="101"/>
      <c r="F178" s="102" t="s">
        <v>758</v>
      </c>
    </row>
    <row r="179" spans="2:6" x14ac:dyDescent="0.35">
      <c r="B179" s="100" t="s">
        <v>349</v>
      </c>
      <c r="C179" s="100" t="s">
        <v>358</v>
      </c>
      <c r="D179" s="100" t="s">
        <v>352</v>
      </c>
      <c r="E179" s="101"/>
      <c r="F179" s="102" t="s">
        <v>758</v>
      </c>
    </row>
    <row r="180" spans="2:6" x14ac:dyDescent="0.35">
      <c r="B180" s="100" t="s">
        <v>349</v>
      </c>
      <c r="C180" s="100" t="s">
        <v>360</v>
      </c>
      <c r="D180" s="100" t="s">
        <v>759</v>
      </c>
      <c r="E180" s="101"/>
      <c r="F180" s="102" t="s">
        <v>758</v>
      </c>
    </row>
    <row r="181" spans="2:6" x14ac:dyDescent="0.35">
      <c r="B181" s="100" t="s">
        <v>349</v>
      </c>
      <c r="C181" s="100" t="s">
        <v>363</v>
      </c>
      <c r="D181" s="100" t="s">
        <v>33</v>
      </c>
      <c r="E181" s="101"/>
      <c r="F181" s="102" t="s">
        <v>758</v>
      </c>
    </row>
    <row r="182" spans="2:6" x14ac:dyDescent="0.35">
      <c r="B182" s="100" t="s">
        <v>349</v>
      </c>
      <c r="C182" s="100" t="s">
        <v>365</v>
      </c>
      <c r="D182" s="100" t="s">
        <v>759</v>
      </c>
      <c r="E182" s="101"/>
      <c r="F182" s="102" t="s">
        <v>758</v>
      </c>
    </row>
    <row r="183" spans="2:6" x14ac:dyDescent="0.35">
      <c r="B183" s="100" t="s">
        <v>349</v>
      </c>
      <c r="C183" s="100" t="s">
        <v>367</v>
      </c>
      <c r="D183" s="100" t="s">
        <v>33</v>
      </c>
      <c r="E183" s="101"/>
      <c r="F183" s="102" t="s">
        <v>758</v>
      </c>
    </row>
    <row r="184" spans="2:6" x14ac:dyDescent="0.35">
      <c r="B184" s="100" t="s">
        <v>349</v>
      </c>
      <c r="C184" s="100" t="s">
        <v>369</v>
      </c>
      <c r="D184" s="100" t="s">
        <v>33</v>
      </c>
      <c r="E184" s="101"/>
      <c r="F184" s="102" t="s">
        <v>758</v>
      </c>
    </row>
    <row r="185" spans="2:6" x14ac:dyDescent="0.35">
      <c r="B185" s="100" t="s">
        <v>349</v>
      </c>
      <c r="C185" s="100" t="s">
        <v>371</v>
      </c>
      <c r="D185" s="100" t="s">
        <v>16</v>
      </c>
      <c r="E185" s="101"/>
      <c r="F185" s="102" t="s">
        <v>758</v>
      </c>
    </row>
    <row r="186" spans="2:6" x14ac:dyDescent="0.35">
      <c r="B186" s="100" t="s">
        <v>349</v>
      </c>
      <c r="C186" s="100" t="s">
        <v>372</v>
      </c>
      <c r="D186" s="100" t="s">
        <v>10</v>
      </c>
      <c r="E186" s="101"/>
      <c r="F186" s="102" t="s">
        <v>758</v>
      </c>
    </row>
    <row r="187" spans="2:6" x14ac:dyDescent="0.35">
      <c r="B187" s="100" t="s">
        <v>349</v>
      </c>
      <c r="C187" s="100" t="s">
        <v>373</v>
      </c>
      <c r="D187" s="100" t="s">
        <v>352</v>
      </c>
      <c r="E187" s="101"/>
      <c r="F187" s="102" t="s">
        <v>758</v>
      </c>
    </row>
    <row r="188" spans="2:6" x14ac:dyDescent="0.35">
      <c r="B188" s="100" t="s">
        <v>349</v>
      </c>
      <c r="C188" s="100" t="s">
        <v>374</v>
      </c>
      <c r="D188" s="100" t="s">
        <v>10</v>
      </c>
      <c r="E188" s="101"/>
      <c r="F188" s="102" t="s">
        <v>758</v>
      </c>
    </row>
    <row r="189" spans="2:6" x14ac:dyDescent="0.35">
      <c r="B189" s="100" t="s">
        <v>349</v>
      </c>
      <c r="C189" s="100" t="s">
        <v>375</v>
      </c>
      <c r="D189" s="100" t="s">
        <v>352</v>
      </c>
      <c r="E189" s="101"/>
      <c r="F189" s="102" t="s">
        <v>758</v>
      </c>
    </row>
    <row r="190" spans="2:6" x14ac:dyDescent="0.35">
      <c r="B190" s="100" t="s">
        <v>349</v>
      </c>
      <c r="C190" s="100" t="s">
        <v>376</v>
      </c>
      <c r="D190" s="100" t="s">
        <v>16</v>
      </c>
      <c r="E190" s="101"/>
      <c r="F190" s="102" t="s">
        <v>758</v>
      </c>
    </row>
    <row r="191" spans="2:6" x14ac:dyDescent="0.35">
      <c r="B191" s="92" t="s">
        <v>377</v>
      </c>
      <c r="C191" s="92" t="s">
        <v>190</v>
      </c>
      <c r="D191" s="92" t="s">
        <v>16</v>
      </c>
      <c r="E191" s="92" t="s">
        <v>4</v>
      </c>
      <c r="F191" s="69" t="s">
        <v>757</v>
      </c>
    </row>
    <row r="192" spans="2:6" x14ac:dyDescent="0.35">
      <c r="B192" s="92" t="s">
        <v>377</v>
      </c>
      <c r="C192" s="92" t="s">
        <v>186</v>
      </c>
      <c r="D192" s="92" t="s">
        <v>10</v>
      </c>
      <c r="E192" s="92" t="s">
        <v>4</v>
      </c>
      <c r="F192" s="69" t="s">
        <v>757</v>
      </c>
    </row>
    <row r="193" spans="2:6" x14ac:dyDescent="0.35">
      <c r="B193" s="92" t="s">
        <v>377</v>
      </c>
      <c r="C193" s="92" t="s">
        <v>188</v>
      </c>
      <c r="D193" s="92" t="s">
        <v>14</v>
      </c>
      <c r="E193" s="92" t="s">
        <v>4</v>
      </c>
      <c r="F193" s="69" t="s">
        <v>757</v>
      </c>
    </row>
    <row r="194" spans="2:6" x14ac:dyDescent="0.35">
      <c r="B194" s="92" t="s">
        <v>377</v>
      </c>
      <c r="C194" s="92" t="s">
        <v>298</v>
      </c>
      <c r="D194" s="92" t="s">
        <v>16</v>
      </c>
      <c r="E194" s="92" t="s">
        <v>4</v>
      </c>
      <c r="F194" s="69" t="s">
        <v>757</v>
      </c>
    </row>
    <row r="195" spans="2:6" x14ac:dyDescent="0.35">
      <c r="B195" s="92" t="s">
        <v>377</v>
      </c>
      <c r="C195" s="92" t="s">
        <v>301</v>
      </c>
      <c r="D195" s="92" t="s">
        <v>302</v>
      </c>
      <c r="E195" s="92" t="s">
        <v>4</v>
      </c>
      <c r="F195" s="69" t="s">
        <v>757</v>
      </c>
    </row>
    <row r="196" spans="2:6" x14ac:dyDescent="0.35">
      <c r="B196" s="92" t="s">
        <v>377</v>
      </c>
      <c r="C196" s="92" t="s">
        <v>304</v>
      </c>
      <c r="D196" s="92" t="s">
        <v>14</v>
      </c>
      <c r="E196" s="92" t="s">
        <v>4</v>
      </c>
      <c r="F196" s="69" t="s">
        <v>757</v>
      </c>
    </row>
    <row r="197" spans="2:6" x14ac:dyDescent="0.35">
      <c r="B197" s="92" t="s">
        <v>377</v>
      </c>
      <c r="C197" s="92" t="s">
        <v>195</v>
      </c>
      <c r="D197" s="92" t="s">
        <v>16</v>
      </c>
      <c r="E197" s="93"/>
      <c r="F197" s="69" t="s">
        <v>758</v>
      </c>
    </row>
    <row r="198" spans="2:6" x14ac:dyDescent="0.35">
      <c r="B198" s="92" t="s">
        <v>377</v>
      </c>
      <c r="C198" s="92" t="s">
        <v>193</v>
      </c>
      <c r="D198" s="92" t="s">
        <v>10</v>
      </c>
      <c r="E198" s="93"/>
      <c r="F198" s="69" t="s">
        <v>758</v>
      </c>
    </row>
    <row r="199" spans="2:6" x14ac:dyDescent="0.35">
      <c r="B199" s="92" t="s">
        <v>377</v>
      </c>
      <c r="C199" s="92" t="s">
        <v>194</v>
      </c>
      <c r="D199" s="92" t="s">
        <v>14</v>
      </c>
      <c r="E199" s="93"/>
      <c r="F199" s="69" t="s">
        <v>758</v>
      </c>
    </row>
    <row r="200" spans="2:6" x14ac:dyDescent="0.35">
      <c r="B200" s="92" t="s">
        <v>378</v>
      </c>
      <c r="C200" s="92" t="s">
        <v>188</v>
      </c>
      <c r="D200" s="92" t="s">
        <v>14</v>
      </c>
      <c r="E200" s="92" t="s">
        <v>4</v>
      </c>
      <c r="F200" s="69" t="s">
        <v>757</v>
      </c>
    </row>
    <row r="201" spans="2:6" x14ac:dyDescent="0.35">
      <c r="B201" s="92" t="s">
        <v>378</v>
      </c>
      <c r="C201" s="92" t="s">
        <v>190</v>
      </c>
      <c r="D201" s="92" t="s">
        <v>16</v>
      </c>
      <c r="E201" s="92" t="s">
        <v>4</v>
      </c>
      <c r="F201" s="69" t="s">
        <v>757</v>
      </c>
    </row>
    <row r="202" spans="2:6" x14ac:dyDescent="0.35">
      <c r="B202" s="92" t="s">
        <v>378</v>
      </c>
      <c r="C202" s="92" t="s">
        <v>186</v>
      </c>
      <c r="D202" s="92" t="s">
        <v>10</v>
      </c>
      <c r="E202" s="92" t="s">
        <v>4</v>
      </c>
      <c r="F202" s="69" t="s">
        <v>757</v>
      </c>
    </row>
    <row r="203" spans="2:6" x14ac:dyDescent="0.35">
      <c r="B203" s="92" t="s">
        <v>378</v>
      </c>
      <c r="C203" s="92" t="s">
        <v>318</v>
      </c>
      <c r="D203" s="92" t="s">
        <v>16</v>
      </c>
      <c r="E203" s="92" t="s">
        <v>4</v>
      </c>
      <c r="F203" s="69" t="s">
        <v>757</v>
      </c>
    </row>
    <row r="204" spans="2:6" x14ac:dyDescent="0.35">
      <c r="B204" s="92" t="s">
        <v>378</v>
      </c>
      <c r="C204" s="92" t="s">
        <v>321</v>
      </c>
      <c r="D204" s="92" t="s">
        <v>302</v>
      </c>
      <c r="E204" s="92" t="s">
        <v>4</v>
      </c>
      <c r="F204" s="69" t="s">
        <v>757</v>
      </c>
    </row>
    <row r="205" spans="2:6" x14ac:dyDescent="0.35">
      <c r="B205" s="92" t="s">
        <v>378</v>
      </c>
      <c r="C205" s="92" t="s">
        <v>323</v>
      </c>
      <c r="D205" s="92" t="s">
        <v>14</v>
      </c>
      <c r="E205" s="92" t="s">
        <v>4</v>
      </c>
      <c r="F205" s="69" t="s">
        <v>757</v>
      </c>
    </row>
    <row r="206" spans="2:6" x14ac:dyDescent="0.35">
      <c r="B206" s="92" t="s">
        <v>378</v>
      </c>
      <c r="C206" s="92" t="s">
        <v>193</v>
      </c>
      <c r="D206" s="92" t="s">
        <v>10</v>
      </c>
      <c r="E206" s="93"/>
      <c r="F206" s="69" t="s">
        <v>758</v>
      </c>
    </row>
    <row r="207" spans="2:6" x14ac:dyDescent="0.35">
      <c r="B207" s="92" t="s">
        <v>378</v>
      </c>
      <c r="C207" s="92" t="s">
        <v>194</v>
      </c>
      <c r="D207" s="92" t="s">
        <v>14</v>
      </c>
      <c r="E207" s="93"/>
      <c r="F207" s="69" t="s">
        <v>758</v>
      </c>
    </row>
    <row r="208" spans="2:6" x14ac:dyDescent="0.35">
      <c r="B208" s="92" t="s">
        <v>378</v>
      </c>
      <c r="C208" s="92" t="s">
        <v>195</v>
      </c>
      <c r="D208" s="92" t="s">
        <v>16</v>
      </c>
      <c r="E208" s="93"/>
      <c r="F208" s="69" t="s">
        <v>758</v>
      </c>
    </row>
    <row r="209" spans="2:6" x14ac:dyDescent="0.35">
      <c r="B209" s="100" t="s">
        <v>379</v>
      </c>
      <c r="C209" s="100" t="s">
        <v>298</v>
      </c>
      <c r="D209" s="100" t="s">
        <v>16</v>
      </c>
      <c r="E209" s="100" t="s">
        <v>4</v>
      </c>
      <c r="F209" s="102" t="s">
        <v>757</v>
      </c>
    </row>
    <row r="210" spans="2:6" x14ac:dyDescent="0.35">
      <c r="B210" s="100" t="s">
        <v>379</v>
      </c>
      <c r="C210" s="100" t="s">
        <v>301</v>
      </c>
      <c r="D210" s="100" t="s">
        <v>302</v>
      </c>
      <c r="E210" s="100" t="s">
        <v>4</v>
      </c>
      <c r="F210" s="102" t="s">
        <v>757</v>
      </c>
    </row>
    <row r="211" spans="2:6" x14ac:dyDescent="0.35">
      <c r="B211" s="100" t="s">
        <v>379</v>
      </c>
      <c r="C211" s="100" t="s">
        <v>304</v>
      </c>
      <c r="D211" s="100" t="s">
        <v>14</v>
      </c>
      <c r="E211" s="100" t="s">
        <v>4</v>
      </c>
      <c r="F211" s="102" t="s">
        <v>757</v>
      </c>
    </row>
    <row r="212" spans="2:6" x14ac:dyDescent="0.35">
      <c r="B212" s="100" t="s">
        <v>379</v>
      </c>
      <c r="C212" s="100" t="s">
        <v>318</v>
      </c>
      <c r="D212" s="107" t="s">
        <v>16</v>
      </c>
      <c r="E212" s="100" t="s">
        <v>4</v>
      </c>
      <c r="F212" s="102" t="s">
        <v>757</v>
      </c>
    </row>
    <row r="213" spans="2:6" x14ac:dyDescent="0.35">
      <c r="B213" s="100" t="s">
        <v>379</v>
      </c>
      <c r="C213" s="100" t="s">
        <v>321</v>
      </c>
      <c r="D213" s="100" t="s">
        <v>302</v>
      </c>
      <c r="E213" s="100" t="s">
        <v>4</v>
      </c>
      <c r="F213" s="102" t="s">
        <v>757</v>
      </c>
    </row>
    <row r="214" spans="2:6" x14ac:dyDescent="0.35">
      <c r="B214" s="100" t="s">
        <v>379</v>
      </c>
      <c r="C214" s="100" t="s">
        <v>323</v>
      </c>
      <c r="D214" s="100" t="s">
        <v>14</v>
      </c>
      <c r="E214" s="100" t="s">
        <v>4</v>
      </c>
      <c r="F214" s="102" t="s">
        <v>757</v>
      </c>
    </row>
    <row r="215" spans="2:6" x14ac:dyDescent="0.35">
      <c r="B215" s="92" t="s">
        <v>9</v>
      </c>
      <c r="C215" s="92" t="s">
        <v>8</v>
      </c>
      <c r="D215" s="92" t="s">
        <v>10</v>
      </c>
      <c r="E215" s="92" t="s">
        <v>4</v>
      </c>
      <c r="F215" s="69" t="s">
        <v>757</v>
      </c>
    </row>
    <row r="216" spans="2:6" x14ac:dyDescent="0.35">
      <c r="B216" s="92" t="s">
        <v>9</v>
      </c>
      <c r="C216" s="92" t="s">
        <v>13</v>
      </c>
      <c r="D216" s="92" t="s">
        <v>14</v>
      </c>
      <c r="E216" s="92" t="s">
        <v>4</v>
      </c>
      <c r="F216" s="69" t="s">
        <v>757</v>
      </c>
    </row>
    <row r="217" spans="2:6" x14ac:dyDescent="0.35">
      <c r="B217" s="92" t="s">
        <v>9</v>
      </c>
      <c r="C217" s="92" t="s">
        <v>15</v>
      </c>
      <c r="D217" s="92" t="s">
        <v>16</v>
      </c>
      <c r="E217" s="92" t="s">
        <v>4</v>
      </c>
      <c r="F217" s="69" t="s">
        <v>757</v>
      </c>
    </row>
    <row r="218" spans="2:6" x14ac:dyDescent="0.35">
      <c r="B218" s="92" t="s">
        <v>9</v>
      </c>
      <c r="C218" s="92" t="s">
        <v>17</v>
      </c>
      <c r="D218" s="92" t="s">
        <v>18</v>
      </c>
      <c r="E218" s="92" t="s">
        <v>4</v>
      </c>
      <c r="F218" s="69" t="s">
        <v>757</v>
      </c>
    </row>
    <row r="219" spans="2:6" x14ac:dyDescent="0.35">
      <c r="B219" s="92" t="s">
        <v>9</v>
      </c>
      <c r="C219" s="92" t="s">
        <v>19</v>
      </c>
      <c r="D219" s="92" t="s">
        <v>20</v>
      </c>
      <c r="E219" s="92" t="s">
        <v>4</v>
      </c>
      <c r="F219" s="69" t="s">
        <v>757</v>
      </c>
    </row>
    <row r="220" spans="2:6" x14ac:dyDescent="0.35">
      <c r="B220" s="92" t="s">
        <v>9</v>
      </c>
      <c r="C220" s="92" t="s">
        <v>21</v>
      </c>
      <c r="D220" s="92" t="s">
        <v>14</v>
      </c>
      <c r="E220" s="92" t="s">
        <v>4</v>
      </c>
      <c r="F220" s="69" t="s">
        <v>757</v>
      </c>
    </row>
    <row r="221" spans="2:6" x14ac:dyDescent="0.35">
      <c r="B221" s="92" t="s">
        <v>9</v>
      </c>
      <c r="C221" s="92" t="s">
        <v>22</v>
      </c>
      <c r="D221" s="92" t="s">
        <v>18</v>
      </c>
      <c r="E221" s="92" t="s">
        <v>4</v>
      </c>
      <c r="F221" s="69" t="s">
        <v>757</v>
      </c>
    </row>
    <row r="222" spans="2:6" x14ac:dyDescent="0.35">
      <c r="B222" s="92" t="s">
        <v>9</v>
      </c>
      <c r="C222" s="92" t="s">
        <v>23</v>
      </c>
      <c r="D222" s="92" t="s">
        <v>14</v>
      </c>
      <c r="E222" s="92" t="s">
        <v>4</v>
      </c>
      <c r="F222" s="69" t="s">
        <v>757</v>
      </c>
    </row>
    <row r="223" spans="2:6" x14ac:dyDescent="0.35">
      <c r="B223" s="92" t="s">
        <v>9</v>
      </c>
      <c r="C223" s="92" t="s">
        <v>24</v>
      </c>
      <c r="D223" s="92" t="s">
        <v>25</v>
      </c>
      <c r="E223" s="93"/>
      <c r="F223" s="69" t="s">
        <v>758</v>
      </c>
    </row>
    <row r="224" spans="2:6" x14ac:dyDescent="0.35">
      <c r="B224" s="92" t="s">
        <v>9</v>
      </c>
      <c r="C224" s="92" t="s">
        <v>26</v>
      </c>
      <c r="D224" s="92" t="s">
        <v>27</v>
      </c>
      <c r="E224" s="93"/>
      <c r="F224" s="69" t="s">
        <v>758</v>
      </c>
    </row>
    <row r="225" spans="2:6" x14ac:dyDescent="0.35">
      <c r="B225" s="92" t="s">
        <v>9</v>
      </c>
      <c r="C225" s="92" t="s">
        <v>28</v>
      </c>
      <c r="D225" s="92" t="s">
        <v>18</v>
      </c>
      <c r="E225" s="93"/>
      <c r="F225" s="69" t="s">
        <v>758</v>
      </c>
    </row>
    <row r="226" spans="2:6" x14ac:dyDescent="0.35">
      <c r="B226" s="92" t="s">
        <v>9</v>
      </c>
      <c r="C226" s="92" t="s">
        <v>29</v>
      </c>
      <c r="D226" s="92" t="s">
        <v>18</v>
      </c>
      <c r="E226" s="93"/>
      <c r="F226" s="69" t="s">
        <v>758</v>
      </c>
    </row>
    <row r="227" spans="2:6" x14ac:dyDescent="0.35">
      <c r="B227" s="91" t="s">
        <v>9</v>
      </c>
      <c r="C227" s="91" t="s">
        <v>30</v>
      </c>
      <c r="D227" s="92" t="s">
        <v>18</v>
      </c>
      <c r="E227" s="93"/>
      <c r="F227" s="69" t="s">
        <v>758</v>
      </c>
    </row>
    <row r="228" spans="2:6" x14ac:dyDescent="0.35">
      <c r="B228" s="92" t="s">
        <v>9</v>
      </c>
      <c r="C228" s="92" t="s">
        <v>31</v>
      </c>
      <c r="D228" s="91" t="s">
        <v>18</v>
      </c>
      <c r="E228" s="93"/>
      <c r="F228" s="69" t="s">
        <v>758</v>
      </c>
    </row>
    <row r="229" spans="2:6" x14ac:dyDescent="0.35">
      <c r="B229" s="92" t="s">
        <v>9</v>
      </c>
      <c r="C229" s="92" t="s">
        <v>32</v>
      </c>
      <c r="D229" s="91" t="s">
        <v>33</v>
      </c>
      <c r="E229" s="93"/>
      <c r="F229" s="69" t="s">
        <v>758</v>
      </c>
    </row>
    <row r="230" spans="2:6" x14ac:dyDescent="0.35">
      <c r="B230" s="100" t="s">
        <v>34</v>
      </c>
      <c r="C230" s="100" t="s">
        <v>8</v>
      </c>
      <c r="D230" s="100" t="s">
        <v>10</v>
      </c>
      <c r="E230" s="100" t="s">
        <v>4</v>
      </c>
      <c r="F230" s="102" t="s">
        <v>757</v>
      </c>
    </row>
    <row r="231" spans="2:6" x14ac:dyDescent="0.35">
      <c r="B231" s="100" t="s">
        <v>34</v>
      </c>
      <c r="C231" s="100" t="s">
        <v>13</v>
      </c>
      <c r="D231" s="100" t="s">
        <v>14</v>
      </c>
      <c r="E231" s="100" t="s">
        <v>4</v>
      </c>
      <c r="F231" s="102" t="s">
        <v>757</v>
      </c>
    </row>
    <row r="232" spans="2:6" x14ac:dyDescent="0.35">
      <c r="B232" s="100" t="s">
        <v>34</v>
      </c>
      <c r="C232" s="100" t="s">
        <v>19</v>
      </c>
      <c r="D232" s="100" t="s">
        <v>20</v>
      </c>
      <c r="E232" s="100" t="s">
        <v>4</v>
      </c>
      <c r="F232" s="102" t="s">
        <v>757</v>
      </c>
    </row>
    <row r="233" spans="2:6" x14ac:dyDescent="0.35">
      <c r="B233" s="100" t="s">
        <v>34</v>
      </c>
      <c r="C233" s="100" t="s">
        <v>21</v>
      </c>
      <c r="D233" s="100" t="s">
        <v>14</v>
      </c>
      <c r="E233" s="100" t="s">
        <v>4</v>
      </c>
      <c r="F233" s="102" t="s">
        <v>757</v>
      </c>
    </row>
    <row r="234" spans="2:6" x14ac:dyDescent="0.35">
      <c r="B234" s="100" t="s">
        <v>34</v>
      </c>
      <c r="C234" s="100" t="s">
        <v>15</v>
      </c>
      <c r="D234" s="100" t="s">
        <v>16</v>
      </c>
      <c r="E234" s="100" t="s">
        <v>4</v>
      </c>
      <c r="F234" s="102" t="s">
        <v>757</v>
      </c>
    </row>
    <row r="235" spans="2:6" x14ac:dyDescent="0.35">
      <c r="B235" s="100" t="s">
        <v>34</v>
      </c>
      <c r="C235" s="100" t="s">
        <v>17</v>
      </c>
      <c r="D235" s="100" t="s">
        <v>18</v>
      </c>
      <c r="E235" s="100" t="s">
        <v>4</v>
      </c>
      <c r="F235" s="102" t="s">
        <v>757</v>
      </c>
    </row>
    <row r="236" spans="2:6" x14ac:dyDescent="0.35">
      <c r="B236" s="100" t="s">
        <v>34</v>
      </c>
      <c r="C236" s="100" t="s">
        <v>35</v>
      </c>
      <c r="D236" s="100" t="s">
        <v>36</v>
      </c>
      <c r="E236" s="100" t="s">
        <v>4</v>
      </c>
      <c r="F236" s="102" t="s">
        <v>757</v>
      </c>
    </row>
    <row r="237" spans="2:6" x14ac:dyDescent="0.35">
      <c r="B237" s="100" t="s">
        <v>34</v>
      </c>
      <c r="C237" s="100" t="s">
        <v>22</v>
      </c>
      <c r="D237" s="100" t="s">
        <v>18</v>
      </c>
      <c r="E237" s="100" t="s">
        <v>4</v>
      </c>
      <c r="F237" s="102" t="s">
        <v>757</v>
      </c>
    </row>
    <row r="238" spans="2:6" x14ac:dyDescent="0.35">
      <c r="B238" s="100" t="s">
        <v>34</v>
      </c>
      <c r="C238" s="100" t="s">
        <v>23</v>
      </c>
      <c r="D238" s="100" t="s">
        <v>14</v>
      </c>
      <c r="E238" s="100" t="s">
        <v>4</v>
      </c>
      <c r="F238" s="102" t="s">
        <v>757</v>
      </c>
    </row>
    <row r="239" spans="2:6" x14ac:dyDescent="0.35">
      <c r="B239" s="100" t="s">
        <v>34</v>
      </c>
      <c r="C239" s="100" t="s">
        <v>37</v>
      </c>
      <c r="D239" s="100" t="s">
        <v>38</v>
      </c>
      <c r="E239" s="101"/>
      <c r="F239" s="102" t="s">
        <v>758</v>
      </c>
    </row>
    <row r="240" spans="2:6" x14ac:dyDescent="0.35">
      <c r="B240" s="100" t="s">
        <v>34</v>
      </c>
      <c r="C240" s="100" t="s">
        <v>39</v>
      </c>
      <c r="D240" s="100" t="s">
        <v>25</v>
      </c>
      <c r="E240" s="101"/>
      <c r="F240" s="102" t="s">
        <v>758</v>
      </c>
    </row>
    <row r="241" spans="2:6" x14ac:dyDescent="0.35">
      <c r="B241" s="100" t="s">
        <v>34</v>
      </c>
      <c r="C241" s="100" t="s">
        <v>40</v>
      </c>
      <c r="D241" s="100" t="s">
        <v>38</v>
      </c>
      <c r="E241" s="101"/>
      <c r="F241" s="102" t="s">
        <v>758</v>
      </c>
    </row>
    <row r="242" spans="2:6" x14ac:dyDescent="0.35">
      <c r="B242" s="100" t="s">
        <v>34</v>
      </c>
      <c r="C242" s="100" t="s">
        <v>41</v>
      </c>
      <c r="D242" s="100" t="s">
        <v>38</v>
      </c>
      <c r="E242" s="101"/>
      <c r="F242" s="102" t="s">
        <v>758</v>
      </c>
    </row>
  </sheetData>
  <autoFilter ref="B1:F242" xr:uid="{72D38D5F-4B47-4D0E-A9FA-D5BF791B84A9}"/>
  <pageMargins left="0.7" right="0.7" top="0.75" bottom="0.75" header="0.3" footer="0.3"/>
  <customProperties>
    <customPr name="QAA_DRILLPATH_NODE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C07E-0514-4445-8A54-8DD71100A552}">
  <sheetPr>
    <tabColor rgb="FF92D050"/>
  </sheetPr>
  <dimension ref="B1:F212"/>
  <sheetViews>
    <sheetView zoomScale="70" zoomScaleNormal="70" workbookViewId="0">
      <pane ySplit="1" topLeftCell="A2" activePane="bottomLeft" state="frozen"/>
      <selection pane="bottomLeft" activeCell="E34" sqref="E34"/>
    </sheetView>
  </sheetViews>
  <sheetFormatPr defaultRowHeight="14.5" x14ac:dyDescent="0.35"/>
  <cols>
    <col min="2" max="2" width="35.1796875" customWidth="1"/>
    <col min="3" max="3" width="45.1796875" customWidth="1"/>
    <col min="4" max="4" width="17.54296875" customWidth="1"/>
    <col min="5" max="5" width="10.54296875" customWidth="1"/>
    <col min="6" max="6" width="16.54296875" customWidth="1"/>
  </cols>
  <sheetData>
    <row r="1" spans="2:6" ht="22.5" customHeight="1" x14ac:dyDescent="0.35">
      <c r="B1" s="99" t="s">
        <v>2</v>
      </c>
      <c r="C1" s="99" t="s">
        <v>755</v>
      </c>
      <c r="D1" s="99" t="s">
        <v>3</v>
      </c>
      <c r="E1" s="99" t="s">
        <v>106</v>
      </c>
      <c r="F1" s="120" t="s">
        <v>756</v>
      </c>
    </row>
    <row r="2" spans="2:6" x14ac:dyDescent="0.35">
      <c r="B2" s="22" t="s">
        <v>44</v>
      </c>
      <c r="C2" s="22" t="s">
        <v>112</v>
      </c>
      <c r="D2" s="22" t="s">
        <v>10</v>
      </c>
      <c r="E2" s="48" t="s">
        <v>4</v>
      </c>
      <c r="F2" s="69" t="s">
        <v>757</v>
      </c>
    </row>
    <row r="3" spans="2:6" x14ac:dyDescent="0.35">
      <c r="B3" s="22" t="s">
        <v>44</v>
      </c>
      <c r="C3" s="22" t="s">
        <v>117</v>
      </c>
      <c r="D3" s="22" t="s">
        <v>14</v>
      </c>
      <c r="E3" s="48" t="s">
        <v>4</v>
      </c>
      <c r="F3" s="69" t="s">
        <v>757</v>
      </c>
    </row>
    <row r="4" spans="2:6" x14ac:dyDescent="0.35">
      <c r="B4" s="22" t="s">
        <v>44</v>
      </c>
      <c r="C4" s="23" t="s">
        <v>121</v>
      </c>
      <c r="D4" s="22" t="s">
        <v>16</v>
      </c>
      <c r="E4" s="48" t="s">
        <v>4</v>
      </c>
      <c r="F4" s="69" t="s">
        <v>757</v>
      </c>
    </row>
    <row r="5" spans="2:6" x14ac:dyDescent="0.35">
      <c r="B5" s="22" t="s">
        <v>44</v>
      </c>
      <c r="C5" s="22" t="s">
        <v>131</v>
      </c>
      <c r="D5" s="22" t="s">
        <v>10</v>
      </c>
      <c r="E5" s="115"/>
      <c r="F5" s="69" t="s">
        <v>758</v>
      </c>
    </row>
    <row r="6" spans="2:6" x14ac:dyDescent="0.35">
      <c r="B6" s="22" t="s">
        <v>44</v>
      </c>
      <c r="C6" s="22" t="s">
        <v>134</v>
      </c>
      <c r="D6" s="22" t="s">
        <v>14</v>
      </c>
      <c r="E6" s="115"/>
      <c r="F6" s="69" t="s">
        <v>758</v>
      </c>
    </row>
    <row r="7" spans="2:6" x14ac:dyDescent="0.35">
      <c r="B7" s="22" t="s">
        <v>44</v>
      </c>
      <c r="C7" s="22" t="s">
        <v>135</v>
      </c>
      <c r="D7" s="22" t="s">
        <v>16</v>
      </c>
      <c r="E7" s="115"/>
      <c r="F7" s="69" t="s">
        <v>758</v>
      </c>
    </row>
    <row r="8" spans="2:6" x14ac:dyDescent="0.35">
      <c r="B8" s="22" t="s">
        <v>44</v>
      </c>
      <c r="C8" s="22" t="s">
        <v>136</v>
      </c>
      <c r="D8" s="22" t="s">
        <v>65</v>
      </c>
      <c r="E8" s="115"/>
      <c r="F8" s="69" t="s">
        <v>758</v>
      </c>
    </row>
    <row r="9" spans="2:6" x14ac:dyDescent="0.35">
      <c r="B9" s="22" t="s">
        <v>44</v>
      </c>
      <c r="C9" s="22" t="s">
        <v>137</v>
      </c>
      <c r="D9" s="22" t="s">
        <v>27</v>
      </c>
      <c r="E9" s="115"/>
      <c r="F9" s="69" t="s">
        <v>758</v>
      </c>
    </row>
    <row r="10" spans="2:6" x14ac:dyDescent="0.35">
      <c r="B10" s="22" t="s">
        <v>44</v>
      </c>
      <c r="C10" s="22" t="s">
        <v>416</v>
      </c>
      <c r="D10" s="17" t="s">
        <v>144</v>
      </c>
      <c r="E10" s="115"/>
      <c r="F10" s="69" t="s">
        <v>758</v>
      </c>
    </row>
    <row r="11" spans="2:6" x14ac:dyDescent="0.35">
      <c r="B11" s="22" t="s">
        <v>44</v>
      </c>
      <c r="C11" s="69" t="s">
        <v>140</v>
      </c>
      <c r="D11" s="22" t="s">
        <v>10</v>
      </c>
      <c r="E11" s="115"/>
      <c r="F11" s="69" t="s">
        <v>758</v>
      </c>
    </row>
    <row r="12" spans="2:6" x14ac:dyDescent="0.35">
      <c r="B12" s="22" t="s">
        <v>44</v>
      </c>
      <c r="C12" s="69" t="s">
        <v>141</v>
      </c>
      <c r="D12" s="22" t="s">
        <v>14</v>
      </c>
      <c r="E12" s="115"/>
      <c r="F12" s="69" t="s">
        <v>758</v>
      </c>
    </row>
    <row r="13" spans="2:6" x14ac:dyDescent="0.35">
      <c r="B13" s="22" t="s">
        <v>44</v>
      </c>
      <c r="C13" s="69" t="s">
        <v>142</v>
      </c>
      <c r="D13" s="22" t="s">
        <v>16</v>
      </c>
      <c r="E13" s="115"/>
      <c r="F13" s="69" t="s">
        <v>758</v>
      </c>
    </row>
    <row r="14" spans="2:6" x14ac:dyDescent="0.35">
      <c r="B14" s="22" t="s">
        <v>44</v>
      </c>
      <c r="C14" s="23" t="s">
        <v>143</v>
      </c>
      <c r="D14" s="22" t="s">
        <v>144</v>
      </c>
      <c r="E14" s="115"/>
      <c r="F14" s="69" t="s">
        <v>758</v>
      </c>
    </row>
    <row r="15" spans="2:6" x14ac:dyDescent="0.35">
      <c r="B15" s="22" t="s">
        <v>44</v>
      </c>
      <c r="C15" s="69" t="s">
        <v>145</v>
      </c>
      <c r="D15" s="22" t="s">
        <v>146</v>
      </c>
      <c r="E15" s="115"/>
      <c r="F15" s="69" t="s">
        <v>758</v>
      </c>
    </row>
    <row r="16" spans="2:6" x14ac:dyDescent="0.35">
      <c r="B16" s="22" t="s">
        <v>44</v>
      </c>
      <c r="C16" s="22" t="s">
        <v>89</v>
      </c>
      <c r="D16" s="22" t="s">
        <v>68</v>
      </c>
      <c r="E16" s="115"/>
      <c r="F16" s="69" t="s">
        <v>758</v>
      </c>
    </row>
    <row r="17" spans="2:6" x14ac:dyDescent="0.35">
      <c r="B17" s="17" t="s">
        <v>44</v>
      </c>
      <c r="C17" s="17" t="s">
        <v>49</v>
      </c>
      <c r="D17" s="17" t="s">
        <v>45</v>
      </c>
      <c r="E17" s="49"/>
      <c r="F17" s="69" t="s">
        <v>758</v>
      </c>
    </row>
    <row r="18" spans="2:6" x14ac:dyDescent="0.35">
      <c r="B18" s="17" t="s">
        <v>44</v>
      </c>
      <c r="C18" s="17" t="s">
        <v>55</v>
      </c>
      <c r="D18" s="17" t="s">
        <v>45</v>
      </c>
      <c r="E18" s="49"/>
      <c r="F18" s="69" t="s">
        <v>758</v>
      </c>
    </row>
    <row r="19" spans="2:6" x14ac:dyDescent="0.35">
      <c r="B19" s="17" t="s">
        <v>44</v>
      </c>
      <c r="C19" s="17" t="s">
        <v>61</v>
      </c>
      <c r="D19" s="17" t="s">
        <v>45</v>
      </c>
      <c r="E19" s="49"/>
      <c r="F19" s="69" t="s">
        <v>758</v>
      </c>
    </row>
    <row r="20" spans="2:6" x14ac:dyDescent="0.35">
      <c r="B20" s="109" t="s">
        <v>147</v>
      </c>
      <c r="C20" s="109" t="s">
        <v>112</v>
      </c>
      <c r="D20" s="109" t="s">
        <v>10</v>
      </c>
      <c r="E20" s="116" t="s">
        <v>148</v>
      </c>
      <c r="F20" s="102" t="s">
        <v>757</v>
      </c>
    </row>
    <row r="21" spans="2:6" x14ac:dyDescent="0.35">
      <c r="B21" s="109" t="s">
        <v>147</v>
      </c>
      <c r="C21" s="109" t="s">
        <v>117</v>
      </c>
      <c r="D21" s="109" t="s">
        <v>14</v>
      </c>
      <c r="E21" s="116" t="s">
        <v>148</v>
      </c>
      <c r="F21" s="102" t="s">
        <v>757</v>
      </c>
    </row>
    <row r="22" spans="2:6" x14ac:dyDescent="0.35">
      <c r="B22" s="109" t="s">
        <v>147</v>
      </c>
      <c r="C22" s="109" t="s">
        <v>149</v>
      </c>
      <c r="D22" s="109" t="s">
        <v>16</v>
      </c>
      <c r="E22" s="116" t="s">
        <v>148</v>
      </c>
      <c r="F22" s="102" t="s">
        <v>757</v>
      </c>
    </row>
    <row r="23" spans="2:6" x14ac:dyDescent="0.35">
      <c r="B23" s="109" t="s">
        <v>147</v>
      </c>
      <c r="C23" s="109" t="s">
        <v>151</v>
      </c>
      <c r="D23" s="109" t="s">
        <v>33</v>
      </c>
      <c r="E23" s="117"/>
      <c r="F23" s="102" t="s">
        <v>758</v>
      </c>
    </row>
    <row r="24" spans="2:6" x14ac:dyDescent="0.35">
      <c r="B24" s="17" t="s">
        <v>154</v>
      </c>
      <c r="C24" s="17" t="s">
        <v>153</v>
      </c>
      <c r="D24" s="17" t="s">
        <v>10</v>
      </c>
      <c r="E24" s="49" t="s">
        <v>148</v>
      </c>
      <c r="F24" s="69" t="s">
        <v>757</v>
      </c>
    </row>
    <row r="25" spans="2:6" x14ac:dyDescent="0.35">
      <c r="B25" s="17" t="s">
        <v>154</v>
      </c>
      <c r="C25" s="17" t="s">
        <v>155</v>
      </c>
      <c r="D25" s="17" t="s">
        <v>14</v>
      </c>
      <c r="E25" s="49" t="s">
        <v>148</v>
      </c>
      <c r="F25" s="69" t="s">
        <v>757</v>
      </c>
    </row>
    <row r="26" spans="2:6" x14ac:dyDescent="0.35">
      <c r="B26" s="17" t="s">
        <v>154</v>
      </c>
      <c r="C26" s="17" t="s">
        <v>149</v>
      </c>
      <c r="D26" s="17" t="s">
        <v>16</v>
      </c>
      <c r="E26" s="49" t="s">
        <v>148</v>
      </c>
      <c r="F26" s="69" t="s">
        <v>757</v>
      </c>
    </row>
    <row r="27" spans="2:6" x14ac:dyDescent="0.35">
      <c r="B27" s="17" t="s">
        <v>154</v>
      </c>
      <c r="C27" s="17" t="s">
        <v>156</v>
      </c>
      <c r="D27" s="17" t="s">
        <v>157</v>
      </c>
      <c r="E27" s="115"/>
      <c r="F27" s="69" t="s">
        <v>758</v>
      </c>
    </row>
    <row r="28" spans="2:6" x14ac:dyDescent="0.35">
      <c r="B28" s="109" t="s">
        <v>159</v>
      </c>
      <c r="C28" s="109" t="s">
        <v>153</v>
      </c>
      <c r="D28" s="109" t="s">
        <v>10</v>
      </c>
      <c r="E28" s="116" t="s">
        <v>148</v>
      </c>
      <c r="F28" s="102" t="s">
        <v>757</v>
      </c>
    </row>
    <row r="29" spans="2:6" x14ac:dyDescent="0.35">
      <c r="B29" s="109" t="s">
        <v>159</v>
      </c>
      <c r="C29" s="109" t="s">
        <v>155</v>
      </c>
      <c r="D29" s="109" t="s">
        <v>14</v>
      </c>
      <c r="E29" s="116" t="s">
        <v>148</v>
      </c>
      <c r="F29" s="102" t="s">
        <v>757</v>
      </c>
    </row>
    <row r="30" spans="2:6" x14ac:dyDescent="0.35">
      <c r="B30" s="109" t="s">
        <v>159</v>
      </c>
      <c r="C30" s="109" t="s">
        <v>160</v>
      </c>
      <c r="D30" s="109" t="s">
        <v>16</v>
      </c>
      <c r="E30" s="116" t="s">
        <v>148</v>
      </c>
      <c r="F30" s="102" t="s">
        <v>757</v>
      </c>
    </row>
    <row r="31" spans="2:6" x14ac:dyDescent="0.35">
      <c r="B31" s="109" t="s">
        <v>159</v>
      </c>
      <c r="C31" s="109" t="s">
        <v>162</v>
      </c>
      <c r="D31" s="109" t="s">
        <v>163</v>
      </c>
      <c r="E31" s="117"/>
      <c r="F31" s="102" t="s">
        <v>758</v>
      </c>
    </row>
    <row r="32" spans="2:6" x14ac:dyDescent="0.35">
      <c r="B32" s="17" t="s">
        <v>165</v>
      </c>
      <c r="C32" s="17" t="s">
        <v>153</v>
      </c>
      <c r="D32" s="17" t="s">
        <v>10</v>
      </c>
      <c r="E32" s="49" t="s">
        <v>148</v>
      </c>
      <c r="F32" s="69" t="s">
        <v>757</v>
      </c>
    </row>
    <row r="33" spans="2:6" x14ac:dyDescent="0.35">
      <c r="B33" s="17" t="s">
        <v>165</v>
      </c>
      <c r="C33" s="17" t="s">
        <v>155</v>
      </c>
      <c r="D33" s="17" t="s">
        <v>14</v>
      </c>
      <c r="E33" s="49" t="s">
        <v>148</v>
      </c>
      <c r="F33" s="69" t="s">
        <v>757</v>
      </c>
    </row>
    <row r="34" spans="2:6" x14ac:dyDescent="0.35">
      <c r="B34" s="17" t="s">
        <v>165</v>
      </c>
      <c r="C34" s="17" t="s">
        <v>174</v>
      </c>
      <c r="D34" s="17" t="s">
        <v>16</v>
      </c>
      <c r="E34" s="49" t="s">
        <v>148</v>
      </c>
      <c r="F34" s="69" t="s">
        <v>757</v>
      </c>
    </row>
    <row r="35" spans="2:6" x14ac:dyDescent="0.35">
      <c r="B35" s="17" t="s">
        <v>165</v>
      </c>
      <c r="C35" s="17" t="s">
        <v>176</v>
      </c>
      <c r="D35" s="17" t="s">
        <v>177</v>
      </c>
      <c r="E35" s="115"/>
      <c r="F35" s="69" t="s">
        <v>758</v>
      </c>
    </row>
    <row r="36" spans="2:6" x14ac:dyDescent="0.35">
      <c r="B36" s="17" t="s">
        <v>165</v>
      </c>
      <c r="C36" s="17" t="s">
        <v>181</v>
      </c>
      <c r="D36" s="17" t="s">
        <v>38</v>
      </c>
      <c r="E36" s="115"/>
      <c r="F36" s="69" t="s">
        <v>758</v>
      </c>
    </row>
    <row r="37" spans="2:6" x14ac:dyDescent="0.35">
      <c r="B37" s="109" t="s">
        <v>93</v>
      </c>
      <c r="C37" s="109" t="s">
        <v>186</v>
      </c>
      <c r="D37" s="109" t="s">
        <v>10</v>
      </c>
      <c r="E37" s="116" t="s">
        <v>4</v>
      </c>
      <c r="F37" s="102" t="s">
        <v>757</v>
      </c>
    </row>
    <row r="38" spans="2:6" x14ac:dyDescent="0.35">
      <c r="B38" s="109" t="s">
        <v>93</v>
      </c>
      <c r="C38" s="109" t="s">
        <v>188</v>
      </c>
      <c r="D38" s="109" t="s">
        <v>14</v>
      </c>
      <c r="E38" s="116" t="s">
        <v>4</v>
      </c>
      <c r="F38" s="102" t="s">
        <v>757</v>
      </c>
    </row>
    <row r="39" spans="2:6" x14ac:dyDescent="0.35">
      <c r="B39" s="109" t="s">
        <v>93</v>
      </c>
      <c r="C39" s="109" t="s">
        <v>190</v>
      </c>
      <c r="D39" s="109" t="s">
        <v>16</v>
      </c>
      <c r="E39" s="116" t="s">
        <v>4</v>
      </c>
      <c r="F39" s="102" t="s">
        <v>757</v>
      </c>
    </row>
    <row r="40" spans="2:6" x14ac:dyDescent="0.35">
      <c r="B40" s="109" t="s">
        <v>93</v>
      </c>
      <c r="C40" s="109" t="s">
        <v>112</v>
      </c>
      <c r="D40" s="109" t="s">
        <v>10</v>
      </c>
      <c r="E40" s="116" t="s">
        <v>192</v>
      </c>
      <c r="F40" s="102" t="s">
        <v>757</v>
      </c>
    </row>
    <row r="41" spans="2:6" x14ac:dyDescent="0.35">
      <c r="B41" s="109" t="s">
        <v>93</v>
      </c>
      <c r="C41" s="109" t="s">
        <v>117</v>
      </c>
      <c r="D41" s="109" t="s">
        <v>14</v>
      </c>
      <c r="E41" s="116" t="s">
        <v>192</v>
      </c>
      <c r="F41" s="102" t="s">
        <v>757</v>
      </c>
    </row>
    <row r="42" spans="2:6" x14ac:dyDescent="0.35">
      <c r="B42" s="109" t="s">
        <v>93</v>
      </c>
      <c r="C42" s="109" t="s">
        <v>121</v>
      </c>
      <c r="D42" s="109" t="s">
        <v>16</v>
      </c>
      <c r="E42" s="116" t="s">
        <v>192</v>
      </c>
      <c r="F42" s="102" t="s">
        <v>757</v>
      </c>
    </row>
    <row r="43" spans="2:6" x14ac:dyDescent="0.35">
      <c r="B43" s="109" t="s">
        <v>93</v>
      </c>
      <c r="C43" s="109" t="s">
        <v>417</v>
      </c>
      <c r="D43" s="109" t="s">
        <v>144</v>
      </c>
      <c r="E43" s="117"/>
      <c r="F43" s="102" t="s">
        <v>758</v>
      </c>
    </row>
    <row r="44" spans="2:6" x14ac:dyDescent="0.35">
      <c r="B44" s="109" t="s">
        <v>93</v>
      </c>
      <c r="C44" s="109" t="s">
        <v>193</v>
      </c>
      <c r="D44" s="109" t="s">
        <v>10</v>
      </c>
      <c r="E44" s="117"/>
      <c r="F44" s="102" t="s">
        <v>758</v>
      </c>
    </row>
    <row r="45" spans="2:6" x14ac:dyDescent="0.35">
      <c r="B45" s="109" t="s">
        <v>93</v>
      </c>
      <c r="C45" s="109" t="s">
        <v>194</v>
      </c>
      <c r="D45" s="109" t="s">
        <v>14</v>
      </c>
      <c r="E45" s="117"/>
      <c r="F45" s="102" t="s">
        <v>758</v>
      </c>
    </row>
    <row r="46" spans="2:6" x14ac:dyDescent="0.35">
      <c r="B46" s="109" t="s">
        <v>93</v>
      </c>
      <c r="C46" s="102" t="s">
        <v>195</v>
      </c>
      <c r="D46" s="109" t="s">
        <v>16</v>
      </c>
      <c r="E46" s="117"/>
      <c r="F46" s="102" t="s">
        <v>758</v>
      </c>
    </row>
    <row r="47" spans="2:6" x14ac:dyDescent="0.35">
      <c r="B47" s="109" t="s">
        <v>93</v>
      </c>
      <c r="C47" s="109" t="s">
        <v>196</v>
      </c>
      <c r="D47" s="109" t="s">
        <v>65</v>
      </c>
      <c r="E47" s="117"/>
      <c r="F47" s="102" t="s">
        <v>758</v>
      </c>
    </row>
    <row r="48" spans="2:6" x14ac:dyDescent="0.35">
      <c r="B48" s="109" t="s">
        <v>93</v>
      </c>
      <c r="C48" s="109" t="s">
        <v>197</v>
      </c>
      <c r="D48" s="109" t="s">
        <v>27</v>
      </c>
      <c r="E48" s="117"/>
      <c r="F48" s="102" t="s">
        <v>758</v>
      </c>
    </row>
    <row r="49" spans="2:6" x14ac:dyDescent="0.35">
      <c r="B49" s="109" t="s">
        <v>93</v>
      </c>
      <c r="C49" s="109" t="s">
        <v>198</v>
      </c>
      <c r="D49" s="109" t="s">
        <v>10</v>
      </c>
      <c r="E49" s="117"/>
      <c r="F49" s="102" t="s">
        <v>758</v>
      </c>
    </row>
    <row r="50" spans="2:6" x14ac:dyDescent="0.35">
      <c r="B50" s="109" t="s">
        <v>93</v>
      </c>
      <c r="C50" s="109" t="s">
        <v>199</v>
      </c>
      <c r="D50" s="109" t="s">
        <v>14</v>
      </c>
      <c r="E50" s="117"/>
      <c r="F50" s="102" t="s">
        <v>758</v>
      </c>
    </row>
    <row r="51" spans="2:6" x14ac:dyDescent="0.35">
      <c r="B51" s="109" t="s">
        <v>93</v>
      </c>
      <c r="C51" s="109" t="s">
        <v>200</v>
      </c>
      <c r="D51" s="109" t="s">
        <v>16</v>
      </c>
      <c r="E51" s="117"/>
      <c r="F51" s="102" t="s">
        <v>758</v>
      </c>
    </row>
    <row r="52" spans="2:6" x14ac:dyDescent="0.35">
      <c r="B52" s="109" t="s">
        <v>93</v>
      </c>
      <c r="C52" s="109" t="s">
        <v>92</v>
      </c>
      <c r="D52" s="109" t="s">
        <v>68</v>
      </c>
      <c r="E52" s="117"/>
      <c r="F52" s="102" t="s">
        <v>758</v>
      </c>
    </row>
    <row r="53" spans="2:6" x14ac:dyDescent="0.35">
      <c r="B53" s="109" t="s">
        <v>93</v>
      </c>
      <c r="C53" s="109" t="s">
        <v>201</v>
      </c>
      <c r="D53" s="111" t="s">
        <v>144</v>
      </c>
      <c r="E53" s="117"/>
      <c r="F53" s="102" t="s">
        <v>758</v>
      </c>
    </row>
    <row r="54" spans="2:6" x14ac:dyDescent="0.35">
      <c r="B54" s="109" t="s">
        <v>93</v>
      </c>
      <c r="C54" s="109" t="s">
        <v>405</v>
      </c>
      <c r="D54" s="109" t="s">
        <v>14</v>
      </c>
      <c r="E54" s="116"/>
      <c r="F54" s="102" t="s">
        <v>758</v>
      </c>
    </row>
    <row r="55" spans="2:6" x14ac:dyDescent="0.35">
      <c r="B55" s="17" t="s">
        <v>202</v>
      </c>
      <c r="C55" s="17" t="s">
        <v>190</v>
      </c>
      <c r="D55" s="17" t="s">
        <v>16</v>
      </c>
      <c r="E55" s="49" t="s">
        <v>148</v>
      </c>
      <c r="F55" s="69" t="s">
        <v>757</v>
      </c>
    </row>
    <row r="56" spans="2:6" x14ac:dyDescent="0.35">
      <c r="B56" s="17" t="s">
        <v>202</v>
      </c>
      <c r="C56" s="17" t="s">
        <v>186</v>
      </c>
      <c r="D56" s="17" t="s">
        <v>10</v>
      </c>
      <c r="E56" s="49" t="s">
        <v>148</v>
      </c>
      <c r="F56" s="69" t="s">
        <v>757</v>
      </c>
    </row>
    <row r="57" spans="2:6" x14ac:dyDescent="0.35">
      <c r="B57" s="17" t="s">
        <v>202</v>
      </c>
      <c r="C57" s="17" t="s">
        <v>188</v>
      </c>
      <c r="D57" s="17" t="s">
        <v>14</v>
      </c>
      <c r="E57" s="49" t="s">
        <v>148</v>
      </c>
      <c r="F57" s="69" t="s">
        <v>757</v>
      </c>
    </row>
    <row r="58" spans="2:6" x14ac:dyDescent="0.35">
      <c r="B58" s="17" t="s">
        <v>202</v>
      </c>
      <c r="C58" s="17" t="s">
        <v>418</v>
      </c>
      <c r="D58" s="17" t="s">
        <v>146</v>
      </c>
      <c r="E58" s="115"/>
      <c r="F58" s="69" t="s">
        <v>758</v>
      </c>
    </row>
    <row r="59" spans="2:6" x14ac:dyDescent="0.35">
      <c r="B59" s="109" t="s">
        <v>64</v>
      </c>
      <c r="C59" s="109" t="s">
        <v>203</v>
      </c>
      <c r="D59" s="109" t="s">
        <v>10</v>
      </c>
      <c r="E59" s="116" t="s">
        <v>4</v>
      </c>
      <c r="F59" s="102" t="s">
        <v>757</v>
      </c>
    </row>
    <row r="60" spans="2:6" x14ac:dyDescent="0.35">
      <c r="B60" s="109" t="s">
        <v>64</v>
      </c>
      <c r="C60" s="109" t="s">
        <v>205</v>
      </c>
      <c r="D60" s="104" t="s">
        <v>14</v>
      </c>
      <c r="E60" s="116" t="s">
        <v>4</v>
      </c>
      <c r="F60" s="102" t="s">
        <v>757</v>
      </c>
    </row>
    <row r="61" spans="2:6" x14ac:dyDescent="0.35">
      <c r="B61" s="109" t="s">
        <v>64</v>
      </c>
      <c r="C61" s="109" t="s">
        <v>207</v>
      </c>
      <c r="D61" s="109" t="s">
        <v>16</v>
      </c>
      <c r="E61" s="116" t="s">
        <v>4</v>
      </c>
      <c r="F61" s="102" t="s">
        <v>757</v>
      </c>
    </row>
    <row r="62" spans="2:6" x14ac:dyDescent="0.35">
      <c r="B62" s="109" t="s">
        <v>64</v>
      </c>
      <c r="C62" s="109" t="s">
        <v>209</v>
      </c>
      <c r="D62" s="109" t="s">
        <v>33</v>
      </c>
      <c r="E62" s="117"/>
      <c r="F62" s="102" t="s">
        <v>758</v>
      </c>
    </row>
    <row r="63" spans="2:6" x14ac:dyDescent="0.35">
      <c r="B63" s="109" t="s">
        <v>64</v>
      </c>
      <c r="C63" s="109" t="s">
        <v>211</v>
      </c>
      <c r="D63" s="109" t="s">
        <v>33</v>
      </c>
      <c r="E63" s="117"/>
      <c r="F63" s="102" t="s">
        <v>758</v>
      </c>
    </row>
    <row r="64" spans="2:6" x14ac:dyDescent="0.35">
      <c r="B64" s="109" t="s">
        <v>64</v>
      </c>
      <c r="C64" s="109" t="s">
        <v>186</v>
      </c>
      <c r="D64" s="109" t="s">
        <v>10</v>
      </c>
      <c r="E64" s="116" t="s">
        <v>192</v>
      </c>
      <c r="F64" s="102" t="s">
        <v>757</v>
      </c>
    </row>
    <row r="65" spans="2:6" x14ac:dyDescent="0.35">
      <c r="B65" s="109" t="s">
        <v>64</v>
      </c>
      <c r="C65" s="109" t="s">
        <v>188</v>
      </c>
      <c r="D65" s="109" t="s">
        <v>14</v>
      </c>
      <c r="E65" s="116" t="s">
        <v>192</v>
      </c>
      <c r="F65" s="102" t="s">
        <v>757</v>
      </c>
    </row>
    <row r="66" spans="2:6" x14ac:dyDescent="0.35">
      <c r="B66" s="109" t="s">
        <v>64</v>
      </c>
      <c r="C66" s="109" t="s">
        <v>190</v>
      </c>
      <c r="D66" s="109" t="s">
        <v>16</v>
      </c>
      <c r="E66" s="116" t="s">
        <v>192</v>
      </c>
      <c r="F66" s="102" t="s">
        <v>757</v>
      </c>
    </row>
    <row r="67" spans="2:6" x14ac:dyDescent="0.35">
      <c r="B67" s="109" t="s">
        <v>64</v>
      </c>
      <c r="C67" s="109" t="s">
        <v>213</v>
      </c>
      <c r="D67" s="109" t="s">
        <v>16</v>
      </c>
      <c r="E67" s="117"/>
      <c r="F67" s="102" t="s">
        <v>758</v>
      </c>
    </row>
    <row r="68" spans="2:6" x14ac:dyDescent="0.35">
      <c r="B68" s="109" t="s">
        <v>64</v>
      </c>
      <c r="C68" s="109" t="s">
        <v>214</v>
      </c>
      <c r="D68" s="109" t="s">
        <v>10</v>
      </c>
      <c r="E68" s="117"/>
      <c r="F68" s="102" t="s">
        <v>758</v>
      </c>
    </row>
    <row r="69" spans="2:6" x14ac:dyDescent="0.35">
      <c r="B69" s="109" t="s">
        <v>64</v>
      </c>
      <c r="C69" s="109" t="s">
        <v>215</v>
      </c>
      <c r="D69" s="109" t="s">
        <v>14</v>
      </c>
      <c r="E69" s="117"/>
      <c r="F69" s="102" t="s">
        <v>758</v>
      </c>
    </row>
    <row r="70" spans="2:6" x14ac:dyDescent="0.35">
      <c r="B70" s="109" t="s">
        <v>64</v>
      </c>
      <c r="C70" s="109" t="s">
        <v>216</v>
      </c>
      <c r="D70" s="109" t="s">
        <v>217</v>
      </c>
      <c r="E70" s="117"/>
      <c r="F70" s="102" t="s">
        <v>758</v>
      </c>
    </row>
    <row r="71" spans="2:6" x14ac:dyDescent="0.35">
      <c r="B71" s="109" t="s">
        <v>64</v>
      </c>
      <c r="C71" s="109" t="s">
        <v>219</v>
      </c>
      <c r="D71" s="109" t="s">
        <v>220</v>
      </c>
      <c r="E71" s="117"/>
      <c r="F71" s="102" t="s">
        <v>758</v>
      </c>
    </row>
    <row r="72" spans="2:6" x14ac:dyDescent="0.35">
      <c r="B72" s="109" t="s">
        <v>64</v>
      </c>
      <c r="C72" s="109" t="s">
        <v>419</v>
      </c>
      <c r="D72" s="109" t="s">
        <v>144</v>
      </c>
      <c r="E72" s="117"/>
      <c r="F72" s="102" t="s">
        <v>758</v>
      </c>
    </row>
    <row r="73" spans="2:6" x14ac:dyDescent="0.35">
      <c r="B73" s="109" t="s">
        <v>64</v>
      </c>
      <c r="C73" s="109" t="s">
        <v>222</v>
      </c>
      <c r="D73" s="109" t="s">
        <v>65</v>
      </c>
      <c r="E73" s="117"/>
      <c r="F73" s="102" t="s">
        <v>758</v>
      </c>
    </row>
    <row r="74" spans="2:6" x14ac:dyDescent="0.35">
      <c r="B74" s="109" t="s">
        <v>64</v>
      </c>
      <c r="C74" s="109" t="s">
        <v>223</v>
      </c>
      <c r="D74" s="109" t="s">
        <v>27</v>
      </c>
      <c r="E74" s="117"/>
      <c r="F74" s="102" t="s">
        <v>758</v>
      </c>
    </row>
    <row r="75" spans="2:6" x14ac:dyDescent="0.35">
      <c r="B75" s="109" t="s">
        <v>64</v>
      </c>
      <c r="C75" s="109" t="s">
        <v>224</v>
      </c>
      <c r="D75" s="109" t="s">
        <v>10</v>
      </c>
      <c r="E75" s="117"/>
      <c r="F75" s="102" t="s">
        <v>758</v>
      </c>
    </row>
    <row r="76" spans="2:6" x14ac:dyDescent="0.35">
      <c r="B76" s="109" t="s">
        <v>64</v>
      </c>
      <c r="C76" s="109" t="s">
        <v>420</v>
      </c>
      <c r="D76" s="109" t="s">
        <v>220</v>
      </c>
      <c r="E76" s="117"/>
      <c r="F76" s="102" t="s">
        <v>758</v>
      </c>
    </row>
    <row r="77" spans="2:6" x14ac:dyDescent="0.35">
      <c r="B77" s="109" t="s">
        <v>64</v>
      </c>
      <c r="C77" s="109" t="s">
        <v>421</v>
      </c>
      <c r="D77" s="109" t="s">
        <v>220</v>
      </c>
      <c r="E77" s="117"/>
      <c r="F77" s="102" t="s">
        <v>758</v>
      </c>
    </row>
    <row r="78" spans="2:6" x14ac:dyDescent="0.35">
      <c r="B78" s="109" t="s">
        <v>64</v>
      </c>
      <c r="C78" s="109" t="s">
        <v>422</v>
      </c>
      <c r="D78" s="109" t="s">
        <v>220</v>
      </c>
      <c r="E78" s="117"/>
      <c r="F78" s="102" t="s">
        <v>758</v>
      </c>
    </row>
    <row r="79" spans="2:6" x14ac:dyDescent="0.35">
      <c r="B79" s="109" t="s">
        <v>64</v>
      </c>
      <c r="C79" s="109" t="s">
        <v>423</v>
      </c>
      <c r="D79" s="109" t="s">
        <v>220</v>
      </c>
      <c r="E79" s="117"/>
      <c r="F79" s="102" t="s">
        <v>758</v>
      </c>
    </row>
    <row r="80" spans="2:6" x14ac:dyDescent="0.35">
      <c r="B80" s="109" t="s">
        <v>64</v>
      </c>
      <c r="C80" s="109" t="s">
        <v>424</v>
      </c>
      <c r="D80" s="109" t="s">
        <v>38</v>
      </c>
      <c r="E80" s="117"/>
      <c r="F80" s="102" t="s">
        <v>758</v>
      </c>
    </row>
    <row r="81" spans="2:6" x14ac:dyDescent="0.35">
      <c r="B81" s="109" t="s">
        <v>64</v>
      </c>
      <c r="C81" s="109" t="s">
        <v>426</v>
      </c>
      <c r="D81" s="109" t="s">
        <v>279</v>
      </c>
      <c r="E81" s="117"/>
      <c r="F81" s="102" t="s">
        <v>758</v>
      </c>
    </row>
    <row r="82" spans="2:6" x14ac:dyDescent="0.35">
      <c r="B82" s="109" t="s">
        <v>64</v>
      </c>
      <c r="C82" s="109" t="s">
        <v>427</v>
      </c>
      <c r="D82" s="109" t="s">
        <v>279</v>
      </c>
      <c r="E82" s="117"/>
      <c r="F82" s="102" t="s">
        <v>758</v>
      </c>
    </row>
    <row r="83" spans="2:6" x14ac:dyDescent="0.35">
      <c r="B83" s="109" t="s">
        <v>64</v>
      </c>
      <c r="C83" s="109" t="s">
        <v>428</v>
      </c>
      <c r="D83" s="109" t="s">
        <v>279</v>
      </c>
      <c r="E83" s="117"/>
      <c r="F83" s="102" t="s">
        <v>758</v>
      </c>
    </row>
    <row r="84" spans="2:6" x14ac:dyDescent="0.35">
      <c r="B84" s="109" t="s">
        <v>64</v>
      </c>
      <c r="C84" s="109" t="s">
        <v>429</v>
      </c>
      <c r="D84" s="111" t="s">
        <v>279</v>
      </c>
      <c r="E84" s="117"/>
      <c r="F84" s="102" t="s">
        <v>758</v>
      </c>
    </row>
    <row r="85" spans="2:6" x14ac:dyDescent="0.35">
      <c r="B85" s="109" t="s">
        <v>64</v>
      </c>
      <c r="C85" s="109" t="s">
        <v>430</v>
      </c>
      <c r="D85" s="109" t="s">
        <v>65</v>
      </c>
      <c r="E85" s="117"/>
      <c r="F85" s="102" t="s">
        <v>758</v>
      </c>
    </row>
    <row r="86" spans="2:6" x14ac:dyDescent="0.35">
      <c r="B86" s="111" t="s">
        <v>64</v>
      </c>
      <c r="C86" s="110" t="s">
        <v>225</v>
      </c>
      <c r="D86" s="111" t="s">
        <v>10</v>
      </c>
      <c r="E86" s="117"/>
      <c r="F86" s="102" t="s">
        <v>758</v>
      </c>
    </row>
    <row r="87" spans="2:6" x14ac:dyDescent="0.35">
      <c r="B87" s="111" t="s">
        <v>64</v>
      </c>
      <c r="C87" s="110" t="s">
        <v>226</v>
      </c>
      <c r="D87" s="111" t="s">
        <v>14</v>
      </c>
      <c r="E87" s="117"/>
      <c r="F87" s="102" t="s">
        <v>758</v>
      </c>
    </row>
    <row r="88" spans="2:6" x14ac:dyDescent="0.35">
      <c r="B88" s="111" t="s">
        <v>64</v>
      </c>
      <c r="C88" s="110" t="s">
        <v>227</v>
      </c>
      <c r="D88" s="111" t="s">
        <v>16</v>
      </c>
      <c r="E88" s="117"/>
      <c r="F88" s="102" t="s">
        <v>758</v>
      </c>
    </row>
    <row r="89" spans="2:6" x14ac:dyDescent="0.35">
      <c r="B89" s="111" t="s">
        <v>64</v>
      </c>
      <c r="C89" s="111" t="s">
        <v>230</v>
      </c>
      <c r="D89" s="111" t="s">
        <v>25</v>
      </c>
      <c r="E89" s="117"/>
      <c r="F89" s="102" t="s">
        <v>758</v>
      </c>
    </row>
    <row r="90" spans="2:6" x14ac:dyDescent="0.35">
      <c r="B90" s="111" t="s">
        <v>64</v>
      </c>
      <c r="C90" s="111" t="s">
        <v>94</v>
      </c>
      <c r="D90" s="111" t="s">
        <v>68</v>
      </c>
      <c r="E90" s="117"/>
      <c r="F90" s="102" t="s">
        <v>758</v>
      </c>
    </row>
    <row r="91" spans="2:6" x14ac:dyDescent="0.35">
      <c r="B91" s="111" t="s">
        <v>64</v>
      </c>
      <c r="C91" s="111" t="s">
        <v>67</v>
      </c>
      <c r="D91" s="112" t="s">
        <v>68</v>
      </c>
      <c r="E91" s="118"/>
      <c r="F91" s="102" t="s">
        <v>758</v>
      </c>
    </row>
    <row r="92" spans="2:6" x14ac:dyDescent="0.35">
      <c r="B92" s="111" t="s">
        <v>64</v>
      </c>
      <c r="C92" s="111" t="s">
        <v>442</v>
      </c>
      <c r="D92" s="112" t="s">
        <v>10</v>
      </c>
      <c r="E92" s="118"/>
      <c r="F92" s="102" t="s">
        <v>758</v>
      </c>
    </row>
    <row r="93" spans="2:6" x14ac:dyDescent="0.35">
      <c r="B93" s="17" t="s">
        <v>72</v>
      </c>
      <c r="C93" s="17" t="s">
        <v>237</v>
      </c>
      <c r="D93" s="17" t="s">
        <v>10</v>
      </c>
      <c r="E93" s="49" t="s">
        <v>4</v>
      </c>
      <c r="F93" s="69" t="s">
        <v>757</v>
      </c>
    </row>
    <row r="94" spans="2:6" x14ac:dyDescent="0.35">
      <c r="B94" s="17" t="s">
        <v>72</v>
      </c>
      <c r="C94" s="17" t="s">
        <v>239</v>
      </c>
      <c r="D94" s="17" t="s">
        <v>14</v>
      </c>
      <c r="E94" s="49" t="s">
        <v>4</v>
      </c>
      <c r="F94" s="69" t="s">
        <v>757</v>
      </c>
    </row>
    <row r="95" spans="2:6" x14ac:dyDescent="0.35">
      <c r="B95" s="17" t="s">
        <v>72</v>
      </c>
      <c r="C95" s="17" t="s">
        <v>241</v>
      </c>
      <c r="D95" s="17" t="s">
        <v>16</v>
      </c>
      <c r="E95" s="49" t="s">
        <v>4</v>
      </c>
      <c r="F95" s="69" t="s">
        <v>757</v>
      </c>
    </row>
    <row r="96" spans="2:6" x14ac:dyDescent="0.35">
      <c r="B96" s="17" t="s">
        <v>72</v>
      </c>
      <c r="C96" s="17" t="s">
        <v>203</v>
      </c>
      <c r="D96" s="17" t="s">
        <v>10</v>
      </c>
      <c r="E96" s="49" t="s">
        <v>192</v>
      </c>
      <c r="F96" s="69" t="s">
        <v>757</v>
      </c>
    </row>
    <row r="97" spans="2:6" x14ac:dyDescent="0.35">
      <c r="B97" s="17" t="s">
        <v>72</v>
      </c>
      <c r="C97" s="17" t="s">
        <v>205</v>
      </c>
      <c r="D97" s="17" t="s">
        <v>14</v>
      </c>
      <c r="E97" s="49" t="s">
        <v>192</v>
      </c>
      <c r="F97" s="69" t="s">
        <v>757</v>
      </c>
    </row>
    <row r="98" spans="2:6" x14ac:dyDescent="0.35">
      <c r="B98" s="17" t="s">
        <v>72</v>
      </c>
      <c r="C98" s="17" t="s">
        <v>207</v>
      </c>
      <c r="D98" s="17" t="s">
        <v>16</v>
      </c>
      <c r="E98" s="49" t="s">
        <v>192</v>
      </c>
      <c r="F98" s="69" t="s">
        <v>757</v>
      </c>
    </row>
    <row r="99" spans="2:6" x14ac:dyDescent="0.35">
      <c r="B99" s="17" t="s">
        <v>72</v>
      </c>
      <c r="C99" s="17" t="s">
        <v>243</v>
      </c>
      <c r="D99" s="17" t="s">
        <v>220</v>
      </c>
      <c r="E99" s="115"/>
      <c r="F99" s="69" t="s">
        <v>758</v>
      </c>
    </row>
    <row r="100" spans="2:6" x14ac:dyDescent="0.35">
      <c r="B100" s="17" t="s">
        <v>72</v>
      </c>
      <c r="C100" s="17" t="s">
        <v>245</v>
      </c>
      <c r="D100" s="17" t="s">
        <v>33</v>
      </c>
      <c r="E100" s="115"/>
      <c r="F100" s="69" t="s">
        <v>758</v>
      </c>
    </row>
    <row r="101" spans="2:6" x14ac:dyDescent="0.35">
      <c r="B101" s="17" t="s">
        <v>72</v>
      </c>
      <c r="C101" s="17" t="s">
        <v>247</v>
      </c>
      <c r="D101" s="17" t="s">
        <v>33</v>
      </c>
      <c r="E101" s="115"/>
      <c r="F101" s="69" t="s">
        <v>758</v>
      </c>
    </row>
    <row r="102" spans="2:6" x14ac:dyDescent="0.35">
      <c r="B102" s="17" t="s">
        <v>72</v>
      </c>
      <c r="C102" s="71" t="s">
        <v>255</v>
      </c>
      <c r="D102" s="17" t="s">
        <v>10</v>
      </c>
      <c r="E102" s="115"/>
      <c r="F102" s="69" t="s">
        <v>758</v>
      </c>
    </row>
    <row r="103" spans="2:6" x14ac:dyDescent="0.35">
      <c r="B103" s="17" t="s">
        <v>72</v>
      </c>
      <c r="C103" s="71" t="s">
        <v>256</v>
      </c>
      <c r="D103" s="17" t="s">
        <v>14</v>
      </c>
      <c r="E103" s="115"/>
      <c r="F103" s="69" t="s">
        <v>758</v>
      </c>
    </row>
    <row r="104" spans="2:6" x14ac:dyDescent="0.35">
      <c r="B104" s="17" t="s">
        <v>72</v>
      </c>
      <c r="C104" s="71" t="s">
        <v>257</v>
      </c>
      <c r="D104" s="17" t="s">
        <v>16</v>
      </c>
      <c r="E104" s="115"/>
      <c r="F104" s="69" t="s">
        <v>758</v>
      </c>
    </row>
    <row r="105" spans="2:6" x14ac:dyDescent="0.35">
      <c r="B105" s="17" t="s">
        <v>72</v>
      </c>
      <c r="C105" s="17" t="s">
        <v>258</v>
      </c>
      <c r="D105" s="17" t="s">
        <v>25</v>
      </c>
      <c r="E105" s="115"/>
      <c r="F105" s="69" t="s">
        <v>758</v>
      </c>
    </row>
    <row r="106" spans="2:6" x14ac:dyDescent="0.35">
      <c r="B106" s="17" t="s">
        <v>72</v>
      </c>
      <c r="C106" s="17" t="s">
        <v>260</v>
      </c>
      <c r="D106" s="17" t="s">
        <v>65</v>
      </c>
      <c r="E106" s="115"/>
      <c r="F106" s="69" t="s">
        <v>758</v>
      </c>
    </row>
    <row r="107" spans="2:6" x14ac:dyDescent="0.35">
      <c r="B107" s="17" t="s">
        <v>72</v>
      </c>
      <c r="C107" s="17" t="s">
        <v>261</v>
      </c>
      <c r="D107" s="17" t="s">
        <v>27</v>
      </c>
      <c r="E107" s="115"/>
      <c r="F107" s="69" t="s">
        <v>758</v>
      </c>
    </row>
    <row r="108" spans="2:6" x14ac:dyDescent="0.35">
      <c r="B108" s="17" t="s">
        <v>72</v>
      </c>
      <c r="C108" s="17" t="s">
        <v>262</v>
      </c>
      <c r="D108" s="17" t="s">
        <v>65</v>
      </c>
      <c r="E108" s="115"/>
      <c r="F108" s="69" t="s">
        <v>758</v>
      </c>
    </row>
    <row r="109" spans="2:6" x14ac:dyDescent="0.35">
      <c r="B109" s="17" t="s">
        <v>72</v>
      </c>
      <c r="C109" s="17" t="s">
        <v>431</v>
      </c>
      <c r="D109" s="17" t="s">
        <v>144</v>
      </c>
      <c r="E109" s="115"/>
      <c r="F109" s="69" t="s">
        <v>758</v>
      </c>
    </row>
    <row r="110" spans="2:6" x14ac:dyDescent="0.35">
      <c r="B110" s="17" t="s">
        <v>72</v>
      </c>
      <c r="C110" s="17" t="s">
        <v>263</v>
      </c>
      <c r="D110" s="17" t="s">
        <v>10</v>
      </c>
      <c r="E110" s="115"/>
      <c r="F110" s="69" t="s">
        <v>758</v>
      </c>
    </row>
    <row r="111" spans="2:6" x14ac:dyDescent="0.35">
      <c r="B111" s="17" t="s">
        <v>72</v>
      </c>
      <c r="C111" s="17" t="s">
        <v>264</v>
      </c>
      <c r="D111" s="17" t="s">
        <v>217</v>
      </c>
      <c r="E111" s="115"/>
      <c r="F111" s="69" t="s">
        <v>758</v>
      </c>
    </row>
    <row r="112" spans="2:6" x14ac:dyDescent="0.35">
      <c r="B112" s="17" t="s">
        <v>72</v>
      </c>
      <c r="C112" s="17" t="s">
        <v>266</v>
      </c>
      <c r="D112" s="17" t="s">
        <v>68</v>
      </c>
      <c r="E112" s="115"/>
      <c r="F112" s="69" t="s">
        <v>758</v>
      </c>
    </row>
    <row r="113" spans="2:6" x14ac:dyDescent="0.35">
      <c r="B113" s="17" t="s">
        <v>72</v>
      </c>
      <c r="C113" s="17" t="s">
        <v>267</v>
      </c>
      <c r="D113" s="22" t="s">
        <v>14</v>
      </c>
      <c r="E113" s="115"/>
      <c r="F113" s="69" t="s">
        <v>758</v>
      </c>
    </row>
    <row r="114" spans="2:6" x14ac:dyDescent="0.35">
      <c r="B114" s="17" t="s">
        <v>72</v>
      </c>
      <c r="C114" s="17" t="s">
        <v>432</v>
      </c>
      <c r="D114" s="17" t="s">
        <v>220</v>
      </c>
      <c r="E114" s="115"/>
      <c r="F114" s="69" t="s">
        <v>758</v>
      </c>
    </row>
    <row r="115" spans="2:6" x14ac:dyDescent="0.35">
      <c r="B115" s="17" t="s">
        <v>72</v>
      </c>
      <c r="C115" s="17" t="s">
        <v>433</v>
      </c>
      <c r="D115" s="17" t="s">
        <v>220</v>
      </c>
      <c r="E115" s="115"/>
      <c r="F115" s="69" t="s">
        <v>758</v>
      </c>
    </row>
    <row r="116" spans="2:6" x14ac:dyDescent="0.35">
      <c r="B116" s="17" t="s">
        <v>72</v>
      </c>
      <c r="C116" s="71" t="s">
        <v>434</v>
      </c>
      <c r="D116" s="17" t="s">
        <v>220</v>
      </c>
      <c r="E116" s="115"/>
      <c r="F116" s="69" t="s">
        <v>758</v>
      </c>
    </row>
    <row r="117" spans="2:6" x14ac:dyDescent="0.35">
      <c r="B117" s="17" t="s">
        <v>72</v>
      </c>
      <c r="C117" s="71" t="s">
        <v>435</v>
      </c>
      <c r="D117" s="17" t="s">
        <v>220</v>
      </c>
      <c r="E117" s="115"/>
      <c r="F117" s="69" t="s">
        <v>758</v>
      </c>
    </row>
    <row r="118" spans="2:6" x14ac:dyDescent="0.35">
      <c r="B118" s="17" t="s">
        <v>72</v>
      </c>
      <c r="C118" s="17" t="s">
        <v>436</v>
      </c>
      <c r="D118" s="17" t="s">
        <v>38</v>
      </c>
      <c r="E118" s="115"/>
      <c r="F118" s="69" t="s">
        <v>758</v>
      </c>
    </row>
    <row r="119" spans="2:6" x14ac:dyDescent="0.35">
      <c r="B119" s="17" t="s">
        <v>72</v>
      </c>
      <c r="C119" s="17" t="s">
        <v>437</v>
      </c>
      <c r="D119" s="17" t="s">
        <v>279</v>
      </c>
      <c r="E119" s="115"/>
      <c r="F119" s="69" t="s">
        <v>758</v>
      </c>
    </row>
    <row r="120" spans="2:6" x14ac:dyDescent="0.35">
      <c r="B120" s="17" t="s">
        <v>72</v>
      </c>
      <c r="C120" s="71" t="s">
        <v>438</v>
      </c>
      <c r="D120" s="17" t="s">
        <v>279</v>
      </c>
      <c r="E120" s="115"/>
      <c r="F120" s="69" t="s">
        <v>758</v>
      </c>
    </row>
    <row r="121" spans="2:6" x14ac:dyDescent="0.35">
      <c r="B121" s="17" t="s">
        <v>72</v>
      </c>
      <c r="C121" s="71" t="s">
        <v>439</v>
      </c>
      <c r="D121" s="17" t="s">
        <v>279</v>
      </c>
      <c r="E121" s="115"/>
      <c r="F121" s="69" t="s">
        <v>758</v>
      </c>
    </row>
    <row r="122" spans="2:6" x14ac:dyDescent="0.35">
      <c r="B122" s="17" t="s">
        <v>72</v>
      </c>
      <c r="C122" s="71" t="s">
        <v>440</v>
      </c>
      <c r="D122" s="17" t="s">
        <v>279</v>
      </c>
      <c r="E122" s="115"/>
      <c r="F122" s="69" t="s">
        <v>758</v>
      </c>
    </row>
    <row r="123" spans="2:6" x14ac:dyDescent="0.35">
      <c r="B123" s="17" t="s">
        <v>72</v>
      </c>
      <c r="C123" s="17" t="s">
        <v>441</v>
      </c>
      <c r="D123" s="17" t="s">
        <v>65</v>
      </c>
      <c r="E123" s="115"/>
      <c r="F123" s="69" t="s">
        <v>758</v>
      </c>
    </row>
    <row r="124" spans="2:6" x14ac:dyDescent="0.35">
      <c r="B124" s="17" t="s">
        <v>72</v>
      </c>
      <c r="C124" s="17" t="s">
        <v>269</v>
      </c>
      <c r="D124" s="17" t="s">
        <v>10</v>
      </c>
      <c r="E124" s="115"/>
      <c r="F124" s="69" t="s">
        <v>758</v>
      </c>
    </row>
    <row r="125" spans="2:6" x14ac:dyDescent="0.35">
      <c r="B125" s="17" t="s">
        <v>72</v>
      </c>
      <c r="C125" s="17" t="s">
        <v>270</v>
      </c>
      <c r="D125" s="17" t="s">
        <v>14</v>
      </c>
      <c r="E125" s="115"/>
      <c r="F125" s="69" t="s">
        <v>758</v>
      </c>
    </row>
    <row r="126" spans="2:6" x14ac:dyDescent="0.35">
      <c r="B126" s="17" t="s">
        <v>72</v>
      </c>
      <c r="C126" s="17" t="s">
        <v>271</v>
      </c>
      <c r="D126" s="17" t="s">
        <v>16</v>
      </c>
      <c r="E126" s="115"/>
      <c r="F126" s="69" t="s">
        <v>758</v>
      </c>
    </row>
    <row r="127" spans="2:6" x14ac:dyDescent="0.35">
      <c r="B127" s="22" t="s">
        <v>72</v>
      </c>
      <c r="C127" s="22" t="s">
        <v>95</v>
      </c>
      <c r="D127" s="22" t="s">
        <v>68</v>
      </c>
      <c r="E127" s="115"/>
      <c r="F127" s="69" t="s">
        <v>758</v>
      </c>
    </row>
    <row r="128" spans="2:6" x14ac:dyDescent="0.35">
      <c r="B128" s="22" t="s">
        <v>72</v>
      </c>
      <c r="C128" s="22" t="s">
        <v>96</v>
      </c>
      <c r="D128" s="58" t="s">
        <v>10</v>
      </c>
      <c r="E128" s="119"/>
      <c r="F128" s="69" t="s">
        <v>758</v>
      </c>
    </row>
    <row r="129" spans="2:6" x14ac:dyDescent="0.35">
      <c r="B129" s="109" t="s">
        <v>76</v>
      </c>
      <c r="C129" s="109" t="s">
        <v>274</v>
      </c>
      <c r="D129" s="109" t="s">
        <v>16</v>
      </c>
      <c r="E129" s="116" t="s">
        <v>4</v>
      </c>
      <c r="F129" s="102" t="s">
        <v>757</v>
      </c>
    </row>
    <row r="130" spans="2:6" x14ac:dyDescent="0.35">
      <c r="B130" s="109" t="s">
        <v>76</v>
      </c>
      <c r="C130" s="109" t="s">
        <v>276</v>
      </c>
      <c r="D130" s="109" t="s">
        <v>18</v>
      </c>
      <c r="E130" s="116" t="s">
        <v>4</v>
      </c>
      <c r="F130" s="102" t="s">
        <v>757</v>
      </c>
    </row>
    <row r="131" spans="2:6" x14ac:dyDescent="0.35">
      <c r="B131" s="109" t="s">
        <v>76</v>
      </c>
      <c r="C131" s="109" t="s">
        <v>278</v>
      </c>
      <c r="D131" s="109" t="s">
        <v>279</v>
      </c>
      <c r="E131" s="116" t="s">
        <v>4</v>
      </c>
      <c r="F131" s="102" t="s">
        <v>757</v>
      </c>
    </row>
    <row r="132" spans="2:6" x14ac:dyDescent="0.35">
      <c r="B132" s="109" t="s">
        <v>76</v>
      </c>
      <c r="C132" s="113" t="s">
        <v>281</v>
      </c>
      <c r="D132" s="109" t="s">
        <v>217</v>
      </c>
      <c r="E132" s="117"/>
      <c r="F132" s="102" t="s">
        <v>758</v>
      </c>
    </row>
    <row r="133" spans="2:6" x14ac:dyDescent="0.35">
      <c r="B133" s="109" t="s">
        <v>76</v>
      </c>
      <c r="C133" s="113" t="s">
        <v>284</v>
      </c>
      <c r="D133" s="109" t="s">
        <v>217</v>
      </c>
      <c r="E133" s="117"/>
      <c r="F133" s="102" t="s">
        <v>758</v>
      </c>
    </row>
    <row r="134" spans="2:6" x14ac:dyDescent="0.35">
      <c r="B134" s="109" t="s">
        <v>76</v>
      </c>
      <c r="C134" s="109" t="s">
        <v>287</v>
      </c>
      <c r="D134" s="109" t="s">
        <v>217</v>
      </c>
      <c r="E134" s="117"/>
      <c r="F134" s="102" t="s">
        <v>758</v>
      </c>
    </row>
    <row r="135" spans="2:6" x14ac:dyDescent="0.35">
      <c r="B135" s="109" t="s">
        <v>76</v>
      </c>
      <c r="C135" s="109" t="s">
        <v>241</v>
      </c>
      <c r="D135" s="109" t="s">
        <v>16</v>
      </c>
      <c r="E135" s="117"/>
      <c r="F135" s="102" t="s">
        <v>758</v>
      </c>
    </row>
    <row r="136" spans="2:6" x14ac:dyDescent="0.35">
      <c r="B136" s="109" t="s">
        <v>76</v>
      </c>
      <c r="C136" s="109" t="s">
        <v>237</v>
      </c>
      <c r="D136" s="109" t="s">
        <v>10</v>
      </c>
      <c r="E136" s="117"/>
      <c r="F136" s="102" t="s">
        <v>758</v>
      </c>
    </row>
    <row r="137" spans="2:6" x14ac:dyDescent="0.35">
      <c r="B137" s="109" t="s">
        <v>76</v>
      </c>
      <c r="C137" s="109" t="s">
        <v>239</v>
      </c>
      <c r="D137" s="109" t="s">
        <v>14</v>
      </c>
      <c r="E137" s="117"/>
      <c r="F137" s="102" t="s">
        <v>758</v>
      </c>
    </row>
    <row r="138" spans="2:6" x14ac:dyDescent="0.35">
      <c r="B138" s="109" t="s">
        <v>76</v>
      </c>
      <c r="C138" s="109" t="s">
        <v>290</v>
      </c>
      <c r="D138" s="109" t="s">
        <v>16</v>
      </c>
      <c r="E138" s="117"/>
      <c r="F138" s="102" t="s">
        <v>758</v>
      </c>
    </row>
    <row r="139" spans="2:6" x14ac:dyDescent="0.35">
      <c r="B139" s="109" t="s">
        <v>76</v>
      </c>
      <c r="C139" s="109" t="s">
        <v>291</v>
      </c>
      <c r="D139" s="109" t="s">
        <v>18</v>
      </c>
      <c r="E139" s="117"/>
      <c r="F139" s="102" t="s">
        <v>758</v>
      </c>
    </row>
    <row r="140" spans="2:6" x14ac:dyDescent="0.35">
      <c r="B140" s="109" t="s">
        <v>76</v>
      </c>
      <c r="C140" s="109" t="s">
        <v>292</v>
      </c>
      <c r="D140" s="109" t="s">
        <v>279</v>
      </c>
      <c r="E140" s="117"/>
      <c r="F140" s="102" t="s">
        <v>758</v>
      </c>
    </row>
    <row r="141" spans="2:6" x14ac:dyDescent="0.35">
      <c r="B141" s="109" t="s">
        <v>76</v>
      </c>
      <c r="C141" s="109" t="s">
        <v>293</v>
      </c>
      <c r="D141" s="109" t="s">
        <v>18</v>
      </c>
      <c r="E141" s="117"/>
      <c r="F141" s="102" t="s">
        <v>758</v>
      </c>
    </row>
    <row r="142" spans="2:6" x14ac:dyDescent="0.35">
      <c r="B142" s="109" t="s">
        <v>76</v>
      </c>
      <c r="C142" s="109" t="s">
        <v>294</v>
      </c>
      <c r="D142" s="109" t="s">
        <v>279</v>
      </c>
      <c r="E142" s="117"/>
      <c r="F142" s="102" t="s">
        <v>758</v>
      </c>
    </row>
    <row r="143" spans="2:6" x14ac:dyDescent="0.35">
      <c r="B143" s="109" t="s">
        <v>76</v>
      </c>
      <c r="C143" s="109" t="s">
        <v>295</v>
      </c>
      <c r="D143" s="109" t="s">
        <v>16</v>
      </c>
      <c r="E143" s="117"/>
      <c r="F143" s="102" t="s">
        <v>758</v>
      </c>
    </row>
    <row r="144" spans="2:6" x14ac:dyDescent="0.35">
      <c r="B144" s="109" t="s">
        <v>76</v>
      </c>
      <c r="C144" s="109" t="s">
        <v>297</v>
      </c>
      <c r="D144" s="109" t="s">
        <v>10</v>
      </c>
      <c r="E144" s="117"/>
      <c r="F144" s="102" t="s">
        <v>758</v>
      </c>
    </row>
    <row r="145" spans="2:6" x14ac:dyDescent="0.35">
      <c r="B145" s="17" t="s">
        <v>299</v>
      </c>
      <c r="C145" s="17" t="s">
        <v>298</v>
      </c>
      <c r="D145" s="17" t="s">
        <v>16</v>
      </c>
      <c r="E145" s="49" t="s">
        <v>4</v>
      </c>
      <c r="F145" s="69" t="s">
        <v>757</v>
      </c>
    </row>
    <row r="146" spans="2:6" x14ac:dyDescent="0.35">
      <c r="B146" s="17" t="s">
        <v>299</v>
      </c>
      <c r="C146" s="17" t="s">
        <v>301</v>
      </c>
      <c r="D146" s="17" t="s">
        <v>302</v>
      </c>
      <c r="E146" s="49" t="s">
        <v>4</v>
      </c>
      <c r="F146" s="69" t="s">
        <v>757</v>
      </c>
    </row>
    <row r="147" spans="2:6" x14ac:dyDescent="0.35">
      <c r="B147" s="17" t="s">
        <v>299</v>
      </c>
      <c r="C147" s="17" t="s">
        <v>304</v>
      </c>
      <c r="D147" s="17" t="s">
        <v>14</v>
      </c>
      <c r="E147" s="49" t="s">
        <v>4</v>
      </c>
      <c r="F147" s="69" t="s">
        <v>757</v>
      </c>
    </row>
    <row r="148" spans="2:6" x14ac:dyDescent="0.35">
      <c r="B148" s="17" t="s">
        <v>299</v>
      </c>
      <c r="C148" s="17" t="s">
        <v>306</v>
      </c>
      <c r="D148" s="17" t="s">
        <v>220</v>
      </c>
      <c r="E148" s="115"/>
      <c r="F148" s="69" t="s">
        <v>758</v>
      </c>
    </row>
    <row r="149" spans="2:6" x14ac:dyDescent="0.35">
      <c r="B149" s="17" t="s">
        <v>299</v>
      </c>
      <c r="C149" s="17" t="s">
        <v>308</v>
      </c>
      <c r="D149" s="17" t="s">
        <v>33</v>
      </c>
      <c r="E149" s="115"/>
      <c r="F149" s="69" t="s">
        <v>758</v>
      </c>
    </row>
    <row r="150" spans="2:6" x14ac:dyDescent="0.35">
      <c r="B150" s="17" t="s">
        <v>299</v>
      </c>
      <c r="C150" s="17" t="s">
        <v>310</v>
      </c>
      <c r="D150" s="17" t="s">
        <v>33</v>
      </c>
      <c r="E150" s="115"/>
      <c r="F150" s="69" t="s">
        <v>758</v>
      </c>
    </row>
    <row r="151" spans="2:6" x14ac:dyDescent="0.35">
      <c r="B151" s="17" t="s">
        <v>299</v>
      </c>
      <c r="C151" s="17" t="s">
        <v>312</v>
      </c>
      <c r="D151" s="17" t="s">
        <v>302</v>
      </c>
      <c r="E151" s="115"/>
      <c r="F151" s="69" t="s">
        <v>758</v>
      </c>
    </row>
    <row r="152" spans="2:6" x14ac:dyDescent="0.35">
      <c r="B152" s="17" t="s">
        <v>299</v>
      </c>
      <c r="C152" s="17" t="s">
        <v>313</v>
      </c>
      <c r="D152" s="17" t="s">
        <v>14</v>
      </c>
      <c r="E152" s="115"/>
      <c r="F152" s="69" t="s">
        <v>758</v>
      </c>
    </row>
    <row r="153" spans="2:6" x14ac:dyDescent="0.35">
      <c r="B153" s="17" t="s">
        <v>299</v>
      </c>
      <c r="C153" s="17" t="s">
        <v>314</v>
      </c>
      <c r="D153" s="17" t="s">
        <v>16</v>
      </c>
      <c r="E153" s="115"/>
      <c r="F153" s="69" t="s">
        <v>758</v>
      </c>
    </row>
    <row r="154" spans="2:6" x14ac:dyDescent="0.35">
      <c r="B154" s="17" t="s">
        <v>299</v>
      </c>
      <c r="C154" s="17" t="s">
        <v>315</v>
      </c>
      <c r="D154" s="17" t="s">
        <v>302</v>
      </c>
      <c r="E154" s="115"/>
      <c r="F154" s="69" t="s">
        <v>758</v>
      </c>
    </row>
    <row r="155" spans="2:6" x14ac:dyDescent="0.35">
      <c r="B155" s="17" t="s">
        <v>299</v>
      </c>
      <c r="C155" s="17" t="s">
        <v>316</v>
      </c>
      <c r="D155" s="17" t="s">
        <v>14</v>
      </c>
      <c r="E155" s="115"/>
      <c r="F155" s="69" t="s">
        <v>758</v>
      </c>
    </row>
    <row r="156" spans="2:6" x14ac:dyDescent="0.35">
      <c r="B156" s="17" t="s">
        <v>299</v>
      </c>
      <c r="C156" s="17" t="s">
        <v>317</v>
      </c>
      <c r="D156" s="17" t="s">
        <v>16</v>
      </c>
      <c r="E156" s="115"/>
      <c r="F156" s="69" t="s">
        <v>758</v>
      </c>
    </row>
    <row r="157" spans="2:6" x14ac:dyDescent="0.35">
      <c r="B157" s="109" t="s">
        <v>319</v>
      </c>
      <c r="C157" s="109" t="s">
        <v>318</v>
      </c>
      <c r="D157" s="109" t="s">
        <v>16</v>
      </c>
      <c r="E157" s="116" t="s">
        <v>4</v>
      </c>
      <c r="F157" s="102" t="s">
        <v>757</v>
      </c>
    </row>
    <row r="158" spans="2:6" x14ac:dyDescent="0.35">
      <c r="B158" s="109" t="s">
        <v>319</v>
      </c>
      <c r="C158" s="109" t="s">
        <v>321</v>
      </c>
      <c r="D158" s="109" t="s">
        <v>302</v>
      </c>
      <c r="E158" s="116" t="s">
        <v>4</v>
      </c>
      <c r="F158" s="102" t="s">
        <v>757</v>
      </c>
    </row>
    <row r="159" spans="2:6" x14ac:dyDescent="0.35">
      <c r="B159" s="109" t="s">
        <v>319</v>
      </c>
      <c r="C159" s="109" t="s">
        <v>323</v>
      </c>
      <c r="D159" s="109" t="s">
        <v>14</v>
      </c>
      <c r="E159" s="116" t="s">
        <v>4</v>
      </c>
      <c r="F159" s="102" t="s">
        <v>757</v>
      </c>
    </row>
    <row r="160" spans="2:6" x14ac:dyDescent="0.35">
      <c r="B160" s="109" t="s">
        <v>319</v>
      </c>
      <c r="C160" s="109" t="s">
        <v>325</v>
      </c>
      <c r="D160" s="109" t="s">
        <v>16</v>
      </c>
      <c r="E160" s="117"/>
      <c r="F160" s="102" t="s">
        <v>758</v>
      </c>
    </row>
    <row r="161" spans="2:6" x14ac:dyDescent="0.35">
      <c r="B161" s="109" t="s">
        <v>319</v>
      </c>
      <c r="C161" s="109" t="s">
        <v>326</v>
      </c>
      <c r="D161" s="109" t="s">
        <v>302</v>
      </c>
      <c r="E161" s="117"/>
      <c r="F161" s="102" t="s">
        <v>758</v>
      </c>
    </row>
    <row r="162" spans="2:6" x14ac:dyDescent="0.35">
      <c r="B162" s="109" t="s">
        <v>319</v>
      </c>
      <c r="C162" s="109" t="s">
        <v>327</v>
      </c>
      <c r="D162" s="109" t="s">
        <v>14</v>
      </c>
      <c r="E162" s="117"/>
      <c r="F162" s="102" t="s">
        <v>758</v>
      </c>
    </row>
    <row r="163" spans="2:6" x14ac:dyDescent="0.35">
      <c r="B163" s="109" t="s">
        <v>319</v>
      </c>
      <c r="C163" s="109" t="s">
        <v>330</v>
      </c>
      <c r="D163" s="109" t="s">
        <v>279</v>
      </c>
      <c r="E163" s="117"/>
      <c r="F163" s="102" t="s">
        <v>758</v>
      </c>
    </row>
    <row r="164" spans="2:6" x14ac:dyDescent="0.35">
      <c r="B164" s="111" t="s">
        <v>319</v>
      </c>
      <c r="C164" s="110" t="s">
        <v>332</v>
      </c>
      <c r="D164" s="111" t="s">
        <v>302</v>
      </c>
      <c r="E164" s="117"/>
      <c r="F164" s="102" t="s">
        <v>758</v>
      </c>
    </row>
    <row r="165" spans="2:6" x14ac:dyDescent="0.35">
      <c r="B165" s="111" t="s">
        <v>319</v>
      </c>
      <c r="C165" s="110" t="s">
        <v>333</v>
      </c>
      <c r="D165" s="111" t="s">
        <v>14</v>
      </c>
      <c r="E165" s="117"/>
      <c r="F165" s="102" t="s">
        <v>758</v>
      </c>
    </row>
    <row r="166" spans="2:6" x14ac:dyDescent="0.35">
      <c r="B166" s="111" t="s">
        <v>319</v>
      </c>
      <c r="C166" s="110" t="s">
        <v>334</v>
      </c>
      <c r="D166" s="111" t="s">
        <v>16</v>
      </c>
      <c r="E166" s="117"/>
      <c r="F166" s="102" t="s">
        <v>758</v>
      </c>
    </row>
    <row r="167" spans="2:6" x14ac:dyDescent="0.35">
      <c r="B167" s="17" t="s">
        <v>335</v>
      </c>
      <c r="C167" s="17" t="s">
        <v>318</v>
      </c>
      <c r="D167" s="17" t="s">
        <v>16</v>
      </c>
      <c r="E167" s="49" t="s">
        <v>4</v>
      </c>
      <c r="F167" s="69" t="s">
        <v>757</v>
      </c>
    </row>
    <row r="168" spans="2:6" x14ac:dyDescent="0.35">
      <c r="B168" s="17" t="s">
        <v>335</v>
      </c>
      <c r="C168" s="17" t="s">
        <v>321</v>
      </c>
      <c r="D168" s="17" t="s">
        <v>302</v>
      </c>
      <c r="E168" s="49" t="s">
        <v>4</v>
      </c>
      <c r="F168" s="69" t="s">
        <v>757</v>
      </c>
    </row>
    <row r="169" spans="2:6" x14ac:dyDescent="0.35">
      <c r="B169" s="17" t="s">
        <v>335</v>
      </c>
      <c r="C169" s="17" t="s">
        <v>323</v>
      </c>
      <c r="D169" s="17" t="s">
        <v>14</v>
      </c>
      <c r="E169" s="49" t="s">
        <v>4</v>
      </c>
      <c r="F169" s="69" t="s">
        <v>757</v>
      </c>
    </row>
    <row r="170" spans="2:6" x14ac:dyDescent="0.35">
      <c r="B170" s="18" t="s">
        <v>335</v>
      </c>
      <c r="C170" s="17" t="s">
        <v>336</v>
      </c>
      <c r="D170" s="17" t="s">
        <v>33</v>
      </c>
      <c r="E170" s="49" t="s">
        <v>4</v>
      </c>
      <c r="F170" s="69" t="s">
        <v>757</v>
      </c>
    </row>
    <row r="171" spans="2:6" x14ac:dyDescent="0.35">
      <c r="B171" s="18" t="s">
        <v>335</v>
      </c>
      <c r="C171" s="17" t="s">
        <v>338</v>
      </c>
      <c r="D171" s="17" t="s">
        <v>144</v>
      </c>
      <c r="E171" s="49" t="s">
        <v>4</v>
      </c>
      <c r="F171" s="69" t="s">
        <v>757</v>
      </c>
    </row>
    <row r="172" spans="2:6" x14ac:dyDescent="0.35">
      <c r="B172" s="18" t="s">
        <v>335</v>
      </c>
      <c r="C172" s="17" t="s">
        <v>341</v>
      </c>
      <c r="D172" s="17" t="s">
        <v>342</v>
      </c>
      <c r="E172" s="115"/>
      <c r="F172" s="69" t="s">
        <v>758</v>
      </c>
    </row>
    <row r="173" spans="2:6" x14ac:dyDescent="0.35">
      <c r="B173" s="18" t="s">
        <v>335</v>
      </c>
      <c r="C173" s="17" t="s">
        <v>344</v>
      </c>
      <c r="D173" s="17" t="s">
        <v>14</v>
      </c>
      <c r="E173" s="49" t="s">
        <v>4</v>
      </c>
      <c r="F173" s="69" t="s">
        <v>757</v>
      </c>
    </row>
    <row r="174" spans="2:6" x14ac:dyDescent="0.35">
      <c r="B174" s="17" t="s">
        <v>335</v>
      </c>
      <c r="C174" s="17" t="s">
        <v>346</v>
      </c>
      <c r="D174" s="17" t="s">
        <v>220</v>
      </c>
      <c r="E174" s="115"/>
      <c r="F174" s="69" t="s">
        <v>758</v>
      </c>
    </row>
    <row r="175" spans="2:6" x14ac:dyDescent="0.35">
      <c r="B175" s="109" t="s">
        <v>349</v>
      </c>
      <c r="C175" s="109" t="s">
        <v>348</v>
      </c>
      <c r="D175" s="109" t="s">
        <v>10</v>
      </c>
      <c r="E175" s="116" t="s">
        <v>4</v>
      </c>
      <c r="F175" s="102" t="s">
        <v>757</v>
      </c>
    </row>
    <row r="176" spans="2:6" x14ac:dyDescent="0.35">
      <c r="B176" s="109" t="s">
        <v>349</v>
      </c>
      <c r="C176" s="109" t="s">
        <v>351</v>
      </c>
      <c r="D176" s="109" t="s">
        <v>352</v>
      </c>
      <c r="E176" s="116" t="s">
        <v>4</v>
      </c>
      <c r="F176" s="102" t="s">
        <v>757</v>
      </c>
    </row>
    <row r="177" spans="2:6" x14ac:dyDescent="0.35">
      <c r="B177" s="109" t="s">
        <v>349</v>
      </c>
      <c r="C177" s="109" t="s">
        <v>354</v>
      </c>
      <c r="D177" s="109" t="s">
        <v>16</v>
      </c>
      <c r="E177" s="116" t="s">
        <v>4</v>
      </c>
      <c r="F177" s="102" t="s">
        <v>757</v>
      </c>
    </row>
    <row r="178" spans="2:6" x14ac:dyDescent="0.35">
      <c r="B178" s="109" t="s">
        <v>349</v>
      </c>
      <c r="C178" s="109" t="s">
        <v>360</v>
      </c>
      <c r="D178" s="109" t="s">
        <v>759</v>
      </c>
      <c r="E178" s="117"/>
      <c r="F178" s="102" t="s">
        <v>758</v>
      </c>
    </row>
    <row r="179" spans="2:6" x14ac:dyDescent="0.35">
      <c r="B179" s="109" t="s">
        <v>349</v>
      </c>
      <c r="C179" s="109" t="s">
        <v>363</v>
      </c>
      <c r="D179" s="109" t="s">
        <v>33</v>
      </c>
      <c r="E179" s="117"/>
      <c r="F179" s="102" t="s">
        <v>758</v>
      </c>
    </row>
    <row r="180" spans="2:6" x14ac:dyDescent="0.35">
      <c r="B180" s="109" t="s">
        <v>349</v>
      </c>
      <c r="C180" s="109" t="s">
        <v>365</v>
      </c>
      <c r="D180" s="109" t="s">
        <v>759</v>
      </c>
      <c r="E180" s="117"/>
      <c r="F180" s="102" t="s">
        <v>758</v>
      </c>
    </row>
    <row r="181" spans="2:6" x14ac:dyDescent="0.35">
      <c r="B181" s="109" t="s">
        <v>349</v>
      </c>
      <c r="C181" s="109" t="s">
        <v>367</v>
      </c>
      <c r="D181" s="109" t="s">
        <v>33</v>
      </c>
      <c r="E181" s="117"/>
      <c r="F181" s="102" t="s">
        <v>758</v>
      </c>
    </row>
    <row r="182" spans="2:6" x14ac:dyDescent="0.35">
      <c r="B182" s="109" t="s">
        <v>349</v>
      </c>
      <c r="C182" s="109" t="s">
        <v>369</v>
      </c>
      <c r="D182" s="109" t="s">
        <v>33</v>
      </c>
      <c r="E182" s="117"/>
      <c r="F182" s="102" t="s">
        <v>758</v>
      </c>
    </row>
    <row r="183" spans="2:6" x14ac:dyDescent="0.35">
      <c r="B183" s="109" t="s">
        <v>349</v>
      </c>
      <c r="C183" s="109" t="s">
        <v>371</v>
      </c>
      <c r="D183" s="109" t="s">
        <v>16</v>
      </c>
      <c r="E183" s="117"/>
      <c r="F183" s="102" t="s">
        <v>758</v>
      </c>
    </row>
    <row r="184" spans="2:6" x14ac:dyDescent="0.35">
      <c r="B184" s="109" t="s">
        <v>349</v>
      </c>
      <c r="C184" s="109" t="s">
        <v>372</v>
      </c>
      <c r="D184" s="109" t="s">
        <v>10</v>
      </c>
      <c r="E184" s="117"/>
      <c r="F184" s="102" t="s">
        <v>758</v>
      </c>
    </row>
    <row r="185" spans="2:6" x14ac:dyDescent="0.35">
      <c r="B185" s="109" t="s">
        <v>349</v>
      </c>
      <c r="C185" s="109" t="s">
        <v>373</v>
      </c>
      <c r="D185" s="109" t="s">
        <v>352</v>
      </c>
      <c r="E185" s="117"/>
      <c r="F185" s="102" t="s">
        <v>758</v>
      </c>
    </row>
    <row r="186" spans="2:6" x14ac:dyDescent="0.35">
      <c r="B186" s="109" t="s">
        <v>349</v>
      </c>
      <c r="C186" s="109" t="s">
        <v>374</v>
      </c>
      <c r="D186" s="109" t="s">
        <v>10</v>
      </c>
      <c r="E186" s="117"/>
      <c r="F186" s="102" t="s">
        <v>758</v>
      </c>
    </row>
    <row r="187" spans="2:6" x14ac:dyDescent="0.35">
      <c r="B187" s="109" t="s">
        <v>349</v>
      </c>
      <c r="C187" s="109" t="s">
        <v>375</v>
      </c>
      <c r="D187" s="109" t="s">
        <v>352</v>
      </c>
      <c r="E187" s="117"/>
      <c r="F187" s="102" t="s">
        <v>758</v>
      </c>
    </row>
    <row r="188" spans="2:6" x14ac:dyDescent="0.35">
      <c r="B188" s="109" t="s">
        <v>349</v>
      </c>
      <c r="C188" s="109" t="s">
        <v>376</v>
      </c>
      <c r="D188" s="109" t="s">
        <v>16</v>
      </c>
      <c r="E188" s="117"/>
      <c r="F188" s="102" t="s">
        <v>758</v>
      </c>
    </row>
    <row r="189" spans="2:6" x14ac:dyDescent="0.35">
      <c r="B189" s="17" t="s">
        <v>377</v>
      </c>
      <c r="C189" s="17" t="s">
        <v>190</v>
      </c>
      <c r="D189" s="17" t="s">
        <v>16</v>
      </c>
      <c r="E189" s="49" t="s">
        <v>4</v>
      </c>
      <c r="F189" s="69" t="s">
        <v>757</v>
      </c>
    </row>
    <row r="190" spans="2:6" x14ac:dyDescent="0.35">
      <c r="B190" s="17" t="s">
        <v>377</v>
      </c>
      <c r="C190" s="17" t="s">
        <v>186</v>
      </c>
      <c r="D190" s="17" t="s">
        <v>10</v>
      </c>
      <c r="E190" s="49" t="s">
        <v>4</v>
      </c>
      <c r="F190" s="69" t="s">
        <v>757</v>
      </c>
    </row>
    <row r="191" spans="2:6" x14ac:dyDescent="0.35">
      <c r="B191" s="17" t="s">
        <v>377</v>
      </c>
      <c r="C191" s="17" t="s">
        <v>188</v>
      </c>
      <c r="D191" s="17" t="s">
        <v>14</v>
      </c>
      <c r="E191" s="49" t="s">
        <v>4</v>
      </c>
      <c r="F191" s="69" t="s">
        <v>757</v>
      </c>
    </row>
    <row r="192" spans="2:6" x14ac:dyDescent="0.35">
      <c r="B192" s="17" t="s">
        <v>377</v>
      </c>
      <c r="C192" s="17" t="s">
        <v>298</v>
      </c>
      <c r="D192" s="17" t="s">
        <v>16</v>
      </c>
      <c r="E192" s="49" t="s">
        <v>4</v>
      </c>
      <c r="F192" s="69" t="s">
        <v>757</v>
      </c>
    </row>
    <row r="193" spans="2:6" x14ac:dyDescent="0.35">
      <c r="B193" s="17" t="s">
        <v>377</v>
      </c>
      <c r="C193" s="17" t="s">
        <v>301</v>
      </c>
      <c r="D193" s="17" t="s">
        <v>302</v>
      </c>
      <c r="E193" s="49" t="s">
        <v>4</v>
      </c>
      <c r="F193" s="69" t="s">
        <v>757</v>
      </c>
    </row>
    <row r="194" spans="2:6" x14ac:dyDescent="0.35">
      <c r="B194" s="17" t="s">
        <v>377</v>
      </c>
      <c r="C194" s="17" t="s">
        <v>304</v>
      </c>
      <c r="D194" s="17" t="s">
        <v>14</v>
      </c>
      <c r="E194" s="49" t="s">
        <v>4</v>
      </c>
      <c r="F194" s="69" t="s">
        <v>757</v>
      </c>
    </row>
    <row r="195" spans="2:6" x14ac:dyDescent="0.35">
      <c r="B195" s="17" t="s">
        <v>377</v>
      </c>
      <c r="C195" s="17" t="s">
        <v>195</v>
      </c>
      <c r="D195" s="17" t="s">
        <v>16</v>
      </c>
      <c r="E195" s="115"/>
      <c r="F195" s="69" t="s">
        <v>758</v>
      </c>
    </row>
    <row r="196" spans="2:6" x14ac:dyDescent="0.35">
      <c r="B196" s="17" t="s">
        <v>377</v>
      </c>
      <c r="C196" s="17" t="s">
        <v>193</v>
      </c>
      <c r="D196" s="17" t="s">
        <v>10</v>
      </c>
      <c r="E196" s="115"/>
      <c r="F196" s="69" t="s">
        <v>758</v>
      </c>
    </row>
    <row r="197" spans="2:6" x14ac:dyDescent="0.35">
      <c r="B197" s="17" t="s">
        <v>377</v>
      </c>
      <c r="C197" s="17" t="s">
        <v>194</v>
      </c>
      <c r="D197" s="17" t="s">
        <v>14</v>
      </c>
      <c r="E197" s="115"/>
      <c r="F197" s="69" t="s">
        <v>758</v>
      </c>
    </row>
    <row r="198" spans="2:6" x14ac:dyDescent="0.35">
      <c r="B198" s="17" t="s">
        <v>378</v>
      </c>
      <c r="C198" s="17" t="s">
        <v>188</v>
      </c>
      <c r="D198" s="17" t="s">
        <v>14</v>
      </c>
      <c r="E198" s="49" t="s">
        <v>4</v>
      </c>
      <c r="F198" s="69" t="s">
        <v>757</v>
      </c>
    </row>
    <row r="199" spans="2:6" x14ac:dyDescent="0.35">
      <c r="B199" s="17" t="s">
        <v>378</v>
      </c>
      <c r="C199" s="17" t="s">
        <v>190</v>
      </c>
      <c r="D199" s="17" t="s">
        <v>16</v>
      </c>
      <c r="E199" s="49" t="s">
        <v>4</v>
      </c>
      <c r="F199" s="69" t="s">
        <v>757</v>
      </c>
    </row>
    <row r="200" spans="2:6" x14ac:dyDescent="0.35">
      <c r="B200" s="17" t="s">
        <v>378</v>
      </c>
      <c r="C200" s="17" t="s">
        <v>186</v>
      </c>
      <c r="D200" s="17" t="s">
        <v>10</v>
      </c>
      <c r="E200" s="49" t="s">
        <v>4</v>
      </c>
      <c r="F200" s="69" t="s">
        <v>757</v>
      </c>
    </row>
    <row r="201" spans="2:6" x14ac:dyDescent="0.35">
      <c r="B201" s="17" t="s">
        <v>378</v>
      </c>
      <c r="C201" s="17" t="s">
        <v>318</v>
      </c>
      <c r="D201" s="17" t="s">
        <v>16</v>
      </c>
      <c r="E201" s="49" t="s">
        <v>4</v>
      </c>
      <c r="F201" s="69" t="s">
        <v>757</v>
      </c>
    </row>
    <row r="202" spans="2:6" x14ac:dyDescent="0.35">
      <c r="B202" s="17" t="s">
        <v>378</v>
      </c>
      <c r="C202" s="17" t="s">
        <v>321</v>
      </c>
      <c r="D202" s="17" t="s">
        <v>302</v>
      </c>
      <c r="E202" s="49" t="s">
        <v>4</v>
      </c>
      <c r="F202" s="69" t="s">
        <v>757</v>
      </c>
    </row>
    <row r="203" spans="2:6" x14ac:dyDescent="0.35">
      <c r="B203" s="17" t="s">
        <v>378</v>
      </c>
      <c r="C203" s="17" t="s">
        <v>323</v>
      </c>
      <c r="D203" s="17" t="s">
        <v>14</v>
      </c>
      <c r="E203" s="49" t="s">
        <v>4</v>
      </c>
      <c r="F203" s="69" t="s">
        <v>757</v>
      </c>
    </row>
    <row r="204" spans="2:6" x14ac:dyDescent="0.35">
      <c r="B204" s="17" t="s">
        <v>378</v>
      </c>
      <c r="C204" s="17" t="s">
        <v>193</v>
      </c>
      <c r="D204" s="17" t="s">
        <v>10</v>
      </c>
      <c r="E204" s="115"/>
      <c r="F204" s="69" t="s">
        <v>758</v>
      </c>
    </row>
    <row r="205" spans="2:6" x14ac:dyDescent="0.35">
      <c r="B205" s="17" t="s">
        <v>378</v>
      </c>
      <c r="C205" s="17" t="s">
        <v>194</v>
      </c>
      <c r="D205" s="17" t="s">
        <v>14</v>
      </c>
      <c r="E205" s="115"/>
      <c r="F205" s="69" t="s">
        <v>758</v>
      </c>
    </row>
    <row r="206" spans="2:6" x14ac:dyDescent="0.35">
      <c r="B206" s="17" t="s">
        <v>378</v>
      </c>
      <c r="C206" s="17" t="s">
        <v>195</v>
      </c>
      <c r="D206" s="17" t="s">
        <v>16</v>
      </c>
      <c r="E206" s="115"/>
      <c r="F206" s="69" t="s">
        <v>758</v>
      </c>
    </row>
    <row r="207" spans="2:6" x14ac:dyDescent="0.35">
      <c r="B207" s="109" t="s">
        <v>379</v>
      </c>
      <c r="C207" s="109" t="s">
        <v>298</v>
      </c>
      <c r="D207" s="109" t="s">
        <v>16</v>
      </c>
      <c r="E207" s="116" t="s">
        <v>4</v>
      </c>
      <c r="F207" s="102" t="s">
        <v>757</v>
      </c>
    </row>
    <row r="208" spans="2:6" x14ac:dyDescent="0.35">
      <c r="B208" s="109" t="s">
        <v>379</v>
      </c>
      <c r="C208" s="109" t="s">
        <v>301</v>
      </c>
      <c r="D208" s="109" t="s">
        <v>302</v>
      </c>
      <c r="E208" s="116" t="s">
        <v>4</v>
      </c>
      <c r="F208" s="102" t="s">
        <v>757</v>
      </c>
    </row>
    <row r="209" spans="2:6" x14ac:dyDescent="0.35">
      <c r="B209" s="109" t="s">
        <v>379</v>
      </c>
      <c r="C209" s="109" t="s">
        <v>304</v>
      </c>
      <c r="D209" s="109" t="s">
        <v>14</v>
      </c>
      <c r="E209" s="116" t="s">
        <v>4</v>
      </c>
      <c r="F209" s="102" t="s">
        <v>757</v>
      </c>
    </row>
    <row r="210" spans="2:6" x14ac:dyDescent="0.35">
      <c r="B210" s="109" t="s">
        <v>379</v>
      </c>
      <c r="C210" s="109" t="s">
        <v>318</v>
      </c>
      <c r="D210" s="112" t="s">
        <v>16</v>
      </c>
      <c r="E210" s="116" t="s">
        <v>4</v>
      </c>
      <c r="F210" s="102" t="s">
        <v>757</v>
      </c>
    </row>
    <row r="211" spans="2:6" x14ac:dyDescent="0.35">
      <c r="B211" s="109" t="s">
        <v>379</v>
      </c>
      <c r="C211" s="109" t="s">
        <v>321</v>
      </c>
      <c r="D211" s="109" t="s">
        <v>302</v>
      </c>
      <c r="E211" s="116" t="s">
        <v>4</v>
      </c>
      <c r="F211" s="102" t="s">
        <v>757</v>
      </c>
    </row>
    <row r="212" spans="2:6" x14ac:dyDescent="0.35">
      <c r="B212" s="109" t="s">
        <v>379</v>
      </c>
      <c r="C212" s="109" t="s">
        <v>323</v>
      </c>
      <c r="D212" s="109" t="s">
        <v>14</v>
      </c>
      <c r="E212" s="116" t="s">
        <v>4</v>
      </c>
      <c r="F212" s="102" t="s">
        <v>757</v>
      </c>
    </row>
  </sheetData>
  <autoFilter ref="B1:F212" xr:uid="{7089C07E-0514-4445-8A54-8DD71100A552}"/>
  <pageMargins left="0.7" right="0.7" top="0.75" bottom="0.75" header="0.3" footer="0.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9C4A2AC3F4041A9172B36E8732A05" ma:contentTypeVersion="16" ma:contentTypeDescription="Create a new document." ma:contentTypeScope="" ma:versionID="de0d6766109f4861e6a886937b512b04">
  <xsd:schema xmlns:xsd="http://www.w3.org/2001/XMLSchema" xmlns:xs="http://www.w3.org/2001/XMLSchema" xmlns:p="http://schemas.microsoft.com/office/2006/metadata/properties" xmlns:ns1="http://schemas.microsoft.com/sharepoint/v3" xmlns:ns2="bd0bdcc3-7344-450a-a9c0-623e4361a9e1" xmlns:ns3="7e650743-90a3-4173-8804-eef3293fd8f8" targetNamespace="http://schemas.microsoft.com/office/2006/metadata/properties" ma:root="true" ma:fieldsID="86ab4b77d8d6994581d7a1c8f8783908" ns1:_="" ns2:_="" ns3:_="">
    <xsd:import namespace="http://schemas.microsoft.com/sharepoint/v3"/>
    <xsd:import namespace="bd0bdcc3-7344-450a-a9c0-623e4361a9e1"/>
    <xsd:import namespace="7e650743-90a3-4173-8804-eef3293fd8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bdcc3-7344-450a-a9c0-623e4361a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03c4af3-d430-4f28-9747-46973365d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50743-90a3-4173-8804-eef3293fd8f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129e760-a1aa-45c4-8bb8-bf3e579e1156}" ma:internalName="TaxCatchAll" ma:showField="CatchAllData" ma:web="7e650743-90a3-4173-8804-eef3293fd8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d0bdcc3-7344-450a-a9c0-623e4361a9e1">
      <Terms xmlns="http://schemas.microsoft.com/office/infopath/2007/PartnerControls"/>
    </lcf76f155ced4ddcb4097134ff3c332f>
    <TaxCatchAll xmlns="7e650743-90a3-4173-8804-eef3293fd8f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AD4E7E-FC7F-4576-A900-DEE749B7F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0bdcc3-7344-450a-a9c0-623e4361a9e1"/>
    <ds:schemaRef ds:uri="7e650743-90a3-4173-8804-eef3293fd8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39A397-44D7-467B-8B40-510C124D6C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d0bdcc3-7344-450a-a9c0-623e4361a9e1"/>
    <ds:schemaRef ds:uri="7e650743-90a3-4173-8804-eef3293fd8f8"/>
  </ds:schemaRefs>
</ds:datastoreItem>
</file>

<file path=customXml/itemProps3.xml><?xml version="1.0" encoding="utf-8"?>
<ds:datastoreItem xmlns:ds="http://schemas.openxmlformats.org/officeDocument/2006/customXml" ds:itemID="{3A331EAA-6244-455D-A247-60D48EFE52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Version Control</vt:lpstr>
      <vt:lpstr>PDF_Input</vt:lpstr>
      <vt:lpstr>PDF_Output</vt:lpstr>
      <vt:lpstr>Mapping</vt:lpstr>
      <vt:lpstr>Current CDM_Staging_Table</vt:lpstr>
      <vt:lpstr>Input Table Structure</vt:lpstr>
      <vt:lpstr>Output Table Structure</vt:lpstr>
    </vt:vector>
  </TitlesOfParts>
  <Manager/>
  <Company>Rabobank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Jacobs, FF (Floris)</dc:creator>
  <cp:keywords/>
  <dc:description/>
  <cp:lastModifiedBy>Puri, A (Ankur)</cp:lastModifiedBy>
  <cp:revision/>
  <dcterms:created xsi:type="dcterms:W3CDTF">2026-06-12T10:04:08Z</dcterms:created>
  <dcterms:modified xsi:type="dcterms:W3CDTF">2026-08-07T10:02:20Z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0x010100AD29C4A2AC3F4041A9172B36E8732A05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{5D761269-D86C-41CC-9F4B-1ECF2A17AEE6}</vt:lpwstr>
  </property>
</Properties>
</file>